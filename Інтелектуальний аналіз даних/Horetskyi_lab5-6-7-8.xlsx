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edu\education\Інтелектуальний аналіз даних\"/>
    </mc:Choice>
  </mc:AlternateContent>
  <xr:revisionPtr revIDLastSave="0" documentId="8_{5A4C7A2E-F2E6-4D81-9B58-20B4BEF910C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Приклад 2.1" sheetId="2" r:id="rId1"/>
    <sheet name="Приклад 2.2" sheetId="3" r:id="rId2"/>
    <sheet name="Завдання 1" sheetId="4" r:id="rId3"/>
    <sheet name="Завдання 2" sheetId="5" r:id="rId4"/>
    <sheet name="Завдання 3" sheetId="6" r:id="rId5"/>
    <sheet name="Дерева рішень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6" l="1"/>
  <c r="C21" i="6"/>
  <c r="C22" i="6" a="1"/>
  <c r="C22" i="6"/>
  <c r="C20" i="6" a="1"/>
  <c r="C20" i="6" s="1"/>
  <c r="D24" i="5"/>
  <c r="D23" i="5"/>
  <c r="D17" i="5"/>
  <c r="D16" i="5"/>
  <c r="D15" i="5"/>
  <c r="D18" i="5" s="1"/>
  <c r="D10" i="5"/>
  <c r="D8" i="5"/>
  <c r="D7" i="5"/>
  <c r="D4" i="4"/>
  <c r="D3" i="4"/>
  <c r="D2" i="4"/>
  <c r="D7" i="3"/>
  <c r="D5" i="3"/>
  <c r="D3" i="3"/>
  <c r="D2" i="3"/>
  <c r="D4" i="2"/>
  <c r="D3" i="2"/>
  <c r="D2" i="2"/>
  <c r="C24" i="6" l="1"/>
</calcChain>
</file>

<file path=xl/sharedStrings.xml><?xml version="1.0" encoding="utf-8"?>
<sst xmlns="http://schemas.openxmlformats.org/spreadsheetml/2006/main" count="90" uniqueCount="74">
  <si>
    <t>Проект</t>
  </si>
  <si>
    <t>Виграш (сприятл.)</t>
  </si>
  <si>
    <t>Виграш (неспр.)</t>
  </si>
  <si>
    <t>ОГО (очік. грош. оцінка)</t>
  </si>
  <si>
    <t>Аквадром</t>
  </si>
  <si>
    <t>Гараж</t>
  </si>
  <si>
    <t>Депозит</t>
  </si>
  <si>
    <t>Формули ОГО: 0.5 × Виграш(+) + 0.5 × Виграш(-)</t>
  </si>
  <si>
    <t>Сценарій</t>
  </si>
  <si>
    <t>Ймовірність</t>
  </si>
  <si>
    <t>Виграш</t>
  </si>
  <si>
    <t>ОГО</t>
  </si>
  <si>
    <t>Сприятлива ситуація - аквадром</t>
  </si>
  <si>
    <t>Несприятлива ситуація - депозит</t>
  </si>
  <si>
    <t>ОГО з точною інформацією</t>
  </si>
  <si>
    <t>Отці (цінність точної інформації)</t>
  </si>
  <si>
    <t>ОГО без точної інформації (Гараж)</t>
  </si>
  <si>
    <t>Варіант</t>
  </si>
  <si>
    <t>Сприятливий</t>
  </si>
  <si>
    <t>Несприятливий</t>
  </si>
  <si>
    <t>Велике виробництво</t>
  </si>
  <si>
    <t>Мале підприємство</t>
  </si>
  <si>
    <t>Продаж патену</t>
  </si>
  <si>
    <t>Найкраща стратегія</t>
  </si>
  <si>
    <t>Прогноз</t>
  </si>
  <si>
    <t>P11</t>
  </si>
  <si>
    <t>P12</t>
  </si>
  <si>
    <t>P21</t>
  </si>
  <si>
    <t>P22</t>
  </si>
  <si>
    <t>Q</t>
  </si>
  <si>
    <t>При сприятливому прогнозі</t>
  </si>
  <si>
    <t>Стратегія</t>
  </si>
  <si>
    <t>Сприятл.</t>
  </si>
  <si>
    <t>Несприятл.</t>
  </si>
  <si>
    <t>Продаж патенту</t>
  </si>
  <si>
    <t>Макс ОГО</t>
  </si>
  <si>
    <t>При несприятливому прогнозі</t>
  </si>
  <si>
    <t>Підсумки</t>
  </si>
  <si>
    <t>Назва</t>
  </si>
  <si>
    <t>Значення</t>
  </si>
  <si>
    <t>Загальне ОГО (0.75 і 0.25)</t>
  </si>
  <si>
    <t>Чистий прибуток (мінус Q)</t>
  </si>
  <si>
    <t>ОГО без дослідження</t>
  </si>
  <si>
    <t>Імовірність браку</t>
  </si>
  <si>
    <t>% Браку</t>
  </si>
  <si>
    <t>Постачальник A</t>
  </si>
  <si>
    <t>Постачальник B</t>
  </si>
  <si>
    <t>Параметри</t>
  </si>
  <si>
    <t>K (вартість)</t>
  </si>
  <si>
    <t>N (шт.)</t>
  </si>
  <si>
    <t>Розрахунки</t>
  </si>
  <si>
    <t>Показник</t>
  </si>
  <si>
    <t>Формула</t>
  </si>
  <si>
    <t>Сер. брак A</t>
  </si>
  <si>
    <t>Витрати A</t>
  </si>
  <si>
    <t>Сер. брак B</t>
  </si>
  <si>
    <t>Витрати B</t>
  </si>
  <si>
    <t>Кращий постачальник</t>
  </si>
  <si>
    <t>Значання</t>
  </si>
  <si>
    <t>L(знижка B)</t>
  </si>
  <si>
    <t>Висновки</t>
  </si>
  <si>
    <t>Отже, проведення додаткового дослідження є недоцільним.</t>
  </si>
  <si>
    <t>Загальні витрати при замовленні 10 000 одиниць товару становлять:</t>
  </si>
  <si>
    <r>
      <t xml:space="preserve">Найбільш доцільною є </t>
    </r>
    <r>
      <rPr>
        <b/>
        <sz val="12"/>
        <color theme="1"/>
        <rFont val="Calibri"/>
        <family val="2"/>
        <scheme val="minor"/>
      </rPr>
      <t>стратегія відкриття малого підприємства</t>
    </r>
    <r>
      <rPr>
        <sz val="12"/>
        <color theme="1"/>
        <rFont val="Calibri"/>
        <family val="2"/>
        <scheme val="minor"/>
      </rPr>
      <t xml:space="preserve">, оскільки її очікувана грошова оцінка (ОГО) становить </t>
    </r>
    <r>
      <rPr>
        <b/>
        <sz val="12"/>
        <color theme="1"/>
        <rFont val="Calibri"/>
        <family val="2"/>
        <scheme val="minor"/>
      </rPr>
      <t>120 000</t>
    </r>
    <r>
      <rPr>
        <sz val="12"/>
        <color theme="1"/>
        <rFont val="Calibri"/>
        <family val="2"/>
        <scheme val="minor"/>
      </rPr>
      <t>, що є найвищим значенням серед усіх можливих варіантів.</t>
    </r>
  </si>
  <si>
    <r>
      <t>З урахуванням прогнозу</t>
    </r>
    <r>
      <rPr>
        <sz val="12"/>
        <color theme="1"/>
        <rFont val="Calibri"/>
        <family val="2"/>
        <scheme val="minor"/>
      </rPr>
      <t>:</t>
    </r>
  </si>
  <si>
    <r>
      <t xml:space="preserve">При </t>
    </r>
    <r>
      <rPr>
        <b/>
        <sz val="12"/>
        <color theme="1"/>
        <rFont val="Calibri"/>
        <family val="2"/>
        <scheme val="minor"/>
      </rPr>
      <t>сприятливому прогнозі</t>
    </r>
    <r>
      <rPr>
        <sz val="12"/>
        <color theme="1"/>
        <rFont val="Calibri"/>
        <family val="2"/>
        <scheme val="minor"/>
      </rPr>
      <t xml:space="preserve"> найвигіднішим є </t>
    </r>
    <r>
      <rPr>
        <b/>
        <sz val="12"/>
        <color theme="1"/>
        <rFont val="Calibri"/>
        <family val="2"/>
        <scheme val="minor"/>
      </rPr>
      <t>велике виробництво</t>
    </r>
    <r>
      <rPr>
        <sz val="12"/>
        <color theme="1"/>
        <rFont val="Calibri"/>
        <family val="2"/>
        <scheme val="minor"/>
      </rPr>
      <t xml:space="preserve"> з ОГО </t>
    </r>
    <r>
      <rPr>
        <b/>
        <sz val="12"/>
        <color theme="1"/>
        <rFont val="Calibri"/>
        <family val="2"/>
        <scheme val="minor"/>
      </rPr>
      <t>290 000</t>
    </r>
    <r>
      <rPr>
        <sz val="12"/>
        <color theme="1"/>
        <rFont val="Calibri"/>
        <family val="2"/>
        <scheme val="minor"/>
      </rPr>
      <t>.</t>
    </r>
  </si>
  <si>
    <r>
      <t xml:space="preserve">При </t>
    </r>
    <r>
      <rPr>
        <b/>
        <sz val="12"/>
        <color theme="1"/>
        <rFont val="Calibri"/>
        <family val="2"/>
        <scheme val="minor"/>
      </rPr>
      <t>несприятливому прогнозі</t>
    </r>
    <r>
      <rPr>
        <sz val="12"/>
        <color theme="1"/>
        <rFont val="Calibri"/>
        <family val="2"/>
        <scheme val="minor"/>
      </rPr>
      <t xml:space="preserve"> найвигідніше </t>
    </r>
    <r>
      <rPr>
        <b/>
        <sz val="12"/>
        <color theme="1"/>
        <rFont val="Calibri"/>
        <family val="2"/>
        <scheme val="minor"/>
      </rPr>
      <t>продати патент</t>
    </r>
    <r>
      <rPr>
        <sz val="12"/>
        <color theme="1"/>
        <rFont val="Calibri"/>
        <family val="2"/>
        <scheme val="minor"/>
      </rPr>
      <t xml:space="preserve">, адже його ОГО становить </t>
    </r>
    <r>
      <rPr>
        <b/>
        <sz val="12"/>
        <color theme="1"/>
        <rFont val="Calibri"/>
        <family val="2"/>
        <scheme val="minor"/>
      </rPr>
      <t>70 000</t>
    </r>
    <r>
      <rPr>
        <sz val="12"/>
        <color theme="1"/>
        <rFont val="Calibri"/>
        <family val="2"/>
        <scheme val="minor"/>
      </rPr>
      <t>.</t>
    </r>
  </si>
  <si>
    <r>
      <t xml:space="preserve">Загальна ОГО з урахуванням імовірностей сприятливого (0,75) і несприятливого (0,25) прогнозу становить </t>
    </r>
    <r>
      <rPr>
        <b/>
        <sz val="12"/>
        <color theme="1"/>
        <rFont val="Calibri"/>
        <family val="2"/>
        <scheme val="minor"/>
      </rPr>
      <t>68 750</t>
    </r>
    <r>
      <rPr>
        <sz val="12"/>
        <color theme="1"/>
        <rFont val="Calibri"/>
        <family val="2"/>
        <scheme val="minor"/>
      </rPr>
      <t>.</t>
    </r>
  </si>
  <si>
    <r>
      <t xml:space="preserve">З урахуванням витрат на прогноз (Q = 25 000), </t>
    </r>
    <r>
      <rPr>
        <b/>
        <sz val="12"/>
        <color theme="1"/>
        <rFont val="Calibri"/>
        <family val="2"/>
        <scheme val="minor"/>
      </rPr>
      <t>чистий прибуток</t>
    </r>
    <r>
      <rPr>
        <sz val="12"/>
        <color theme="1"/>
        <rFont val="Calibri"/>
        <family val="2"/>
        <scheme val="minor"/>
      </rPr>
      <t xml:space="preserve"> складає лише </t>
    </r>
    <r>
      <rPr>
        <b/>
        <sz val="12"/>
        <color theme="1"/>
        <rFont val="Calibri"/>
        <family val="2"/>
        <scheme val="minor"/>
      </rPr>
      <t>23 000</t>
    </r>
    <r>
      <rPr>
        <sz val="12"/>
        <color theme="1"/>
        <rFont val="Calibri"/>
        <family val="2"/>
        <scheme val="minor"/>
      </rPr>
      <t>, що значно менше, ніж прибуток без дослідження (120 000).</t>
    </r>
  </si>
  <si>
    <r>
      <t>Аналіз постачальників</t>
    </r>
    <r>
      <rPr>
        <sz val="12"/>
        <color theme="1"/>
        <rFont val="Calibri"/>
        <family val="2"/>
        <scheme val="minor"/>
      </rPr>
      <t xml:space="preserve"> показав, що:</t>
    </r>
  </si>
  <si>
    <r>
      <t xml:space="preserve">Середній відсоток браку у постачальника </t>
    </r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 xml:space="preserve"> — </t>
    </r>
    <r>
      <rPr>
        <b/>
        <sz val="12"/>
        <color theme="1"/>
        <rFont val="Calibri"/>
        <family val="2"/>
        <scheme val="minor"/>
      </rPr>
      <t>2%</t>
    </r>
    <r>
      <rPr>
        <sz val="12"/>
        <color theme="1"/>
        <rFont val="Calibri"/>
        <family val="2"/>
        <scheme val="minor"/>
      </rPr>
      <t xml:space="preserve">, а у </t>
    </r>
    <r>
      <rPr>
        <b/>
        <sz val="12"/>
        <color theme="1"/>
        <rFont val="Calibri"/>
        <family val="2"/>
        <scheme val="minor"/>
      </rPr>
      <t>B</t>
    </r>
    <r>
      <rPr>
        <sz val="12"/>
        <color theme="1"/>
        <rFont val="Calibri"/>
        <family val="2"/>
        <scheme val="minor"/>
      </rPr>
      <t xml:space="preserve"> — </t>
    </r>
    <r>
      <rPr>
        <b/>
        <sz val="12"/>
        <color theme="1"/>
        <rFont val="Calibri"/>
        <family val="2"/>
        <scheme val="minor"/>
      </rPr>
      <t>2,45%</t>
    </r>
    <r>
      <rPr>
        <sz val="12"/>
        <color theme="1"/>
        <rFont val="Calibri"/>
        <family val="2"/>
        <scheme val="minor"/>
      </rPr>
      <t>.</t>
    </r>
  </si>
  <si>
    <r>
      <t>Постачальник A</t>
    </r>
    <r>
      <rPr>
        <sz val="12"/>
        <color theme="1"/>
        <rFont val="Calibri"/>
        <family val="2"/>
        <scheme val="minor"/>
      </rPr>
      <t>: 3 000 000 грн</t>
    </r>
  </si>
  <si>
    <r>
      <t>Постачальник B</t>
    </r>
    <r>
      <rPr>
        <sz val="12"/>
        <color theme="1"/>
        <rFont val="Calibri"/>
        <family val="2"/>
        <scheme val="minor"/>
      </rPr>
      <t xml:space="preserve"> (з урахуванням знижки): 3 673 900 грн</t>
    </r>
  </si>
  <si>
    <r>
      <t>Найкращим постачальником</t>
    </r>
    <r>
      <rPr>
        <sz val="12"/>
        <color theme="1"/>
        <rFont val="Calibri"/>
        <family val="2"/>
        <scheme val="minor"/>
      </rPr>
      <t xml:space="preserve"> є </t>
    </r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, адже він забезпечує менший відсоток браку та менші загальні витрати.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</si>
</sst>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2" fillId="0" borderId="0" xfId="0" applyFont="1" applyBorder="1" applyAlignment="1">
      <alignment horizontal="center"/>
    </xf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7" xfId="0" applyFont="1" applyBorder="1"/>
    <xf numFmtId="0" fontId="1" fillId="0" borderId="7" xfId="0" applyFont="1" applyBorder="1"/>
    <xf numFmtId="0" fontId="2" fillId="0" borderId="8" xfId="0" applyFont="1" applyBorder="1"/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 applyAlignment="1">
      <alignment horizontal="left" vertical="center" indent="1"/>
    </xf>
    <xf numFmtId="0" fontId="2" fillId="0" borderId="0" xfId="0" applyFont="1" applyBorder="1" applyAlignment="1">
      <alignment horizontal="left"/>
    </xf>
    <xf numFmtId="0" fontId="2" fillId="0" borderId="4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4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6" xfId="0" applyFont="1" applyBorder="1"/>
    <xf numFmtId="9" fontId="2" fillId="0" borderId="0" xfId="0" applyNumberFormat="1" applyFont="1" applyAlignment="1">
      <alignment horizontal="center"/>
    </xf>
    <xf numFmtId="0" fontId="2" fillId="0" borderId="4" xfId="0" applyFont="1" applyBorder="1" applyAlignment="1">
      <alignment horizontal="left" vertical="center" indent="2"/>
    </xf>
    <xf numFmtId="0" fontId="1" fillId="0" borderId="4" xfId="0" applyFont="1" applyBorder="1" applyAlignment="1">
      <alignment horizontal="left" vertical="center" indent="2"/>
    </xf>
    <xf numFmtId="0" fontId="1" fillId="0" borderId="6" xfId="0" applyFont="1" applyBorder="1" applyAlignment="1">
      <alignment horizontal="left" vertical="center" indent="1"/>
    </xf>
    <xf numFmtId="0" fontId="1" fillId="0" borderId="4" xfId="0" applyFont="1" applyBorder="1"/>
    <xf numFmtId="0" fontId="2" fillId="0" borderId="0" xfId="0" applyFont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tabSelected="1" workbookViewId="0">
      <selection activeCell="F16" sqref="F16"/>
    </sheetView>
  </sheetViews>
  <sheetFormatPr defaultRowHeight="14.4" x14ac:dyDescent="0.3"/>
  <cols>
    <col min="1" max="2" width="20" customWidth="1"/>
    <col min="3" max="3" width="28" customWidth="1"/>
    <col min="4" max="4" width="24.6640625" customWidth="1"/>
  </cols>
  <sheetData>
    <row r="1" spans="1:4" ht="15.6" x14ac:dyDescent="0.3">
      <c r="A1" s="13" t="s">
        <v>0</v>
      </c>
      <c r="B1" s="13" t="s">
        <v>1</v>
      </c>
      <c r="C1" s="13" t="s">
        <v>2</v>
      </c>
      <c r="D1" s="13" t="s">
        <v>3</v>
      </c>
    </row>
    <row r="2" spans="1:4" ht="15.6" x14ac:dyDescent="0.3">
      <c r="A2" s="14" t="s">
        <v>4</v>
      </c>
      <c r="B2" s="14">
        <v>200000</v>
      </c>
      <c r="C2" s="14">
        <v>-180000</v>
      </c>
      <c r="D2" s="14">
        <f>0.5*B2+0.5*C2</f>
        <v>10000</v>
      </c>
    </row>
    <row r="3" spans="1:4" ht="15.6" x14ac:dyDescent="0.3">
      <c r="A3" s="14" t="s">
        <v>5</v>
      </c>
      <c r="B3" s="14">
        <v>100000</v>
      </c>
      <c r="C3" s="14">
        <v>-20000</v>
      </c>
      <c r="D3" s="14">
        <f>0.5*B3+0.5*C3</f>
        <v>40000</v>
      </c>
    </row>
    <row r="4" spans="1:4" ht="15.6" x14ac:dyDescent="0.3">
      <c r="A4" s="14" t="s">
        <v>6</v>
      </c>
      <c r="B4" s="14">
        <v>10000</v>
      </c>
      <c r="C4" s="14">
        <v>10000</v>
      </c>
      <c r="D4" s="14">
        <f>0.5*C4+0.5*C4</f>
        <v>10000</v>
      </c>
    </row>
    <row r="5" spans="1:4" ht="15.6" x14ac:dyDescent="0.3">
      <c r="A5" s="3"/>
      <c r="B5" s="3"/>
      <c r="C5" s="3"/>
      <c r="D5" s="3"/>
    </row>
    <row r="6" spans="1:4" ht="15.6" x14ac:dyDescent="0.3">
      <c r="A6" s="3" t="s">
        <v>7</v>
      </c>
      <c r="B6" s="3"/>
      <c r="C6" s="3"/>
      <c r="D6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D12" sqref="D12"/>
    </sheetView>
  </sheetViews>
  <sheetFormatPr defaultRowHeight="14.4" x14ac:dyDescent="0.3"/>
  <cols>
    <col min="1" max="1" width="34.21875" customWidth="1"/>
    <col min="2" max="2" width="12.6640625" customWidth="1"/>
    <col min="3" max="3" width="9.5546875" customWidth="1"/>
    <col min="4" max="4" width="9.109375" customWidth="1"/>
  </cols>
  <sheetData>
    <row r="1" spans="1:4" ht="15.6" x14ac:dyDescent="0.3">
      <c r="A1" s="12" t="s">
        <v>8</v>
      </c>
      <c r="B1" s="12" t="s">
        <v>9</v>
      </c>
      <c r="C1" s="12" t="s">
        <v>10</v>
      </c>
      <c r="D1" s="12" t="s">
        <v>11</v>
      </c>
    </row>
    <row r="2" spans="1:4" ht="15.6" x14ac:dyDescent="0.3">
      <c r="A2" s="5" t="s">
        <v>12</v>
      </c>
      <c r="B2" s="5">
        <v>0.5</v>
      </c>
      <c r="C2" s="5">
        <v>200000</v>
      </c>
      <c r="D2" s="5">
        <f>B2*C2</f>
        <v>100000</v>
      </c>
    </row>
    <row r="3" spans="1:4" ht="15.6" x14ac:dyDescent="0.3">
      <c r="A3" s="5" t="s">
        <v>13</v>
      </c>
      <c r="B3" s="5">
        <v>0.5</v>
      </c>
      <c r="C3" s="5">
        <v>10000</v>
      </c>
      <c r="D3" s="5">
        <f>B3*C3</f>
        <v>5000</v>
      </c>
    </row>
    <row r="4" spans="1:4" ht="15.6" x14ac:dyDescent="0.3">
      <c r="A4" s="3"/>
      <c r="B4" s="3"/>
      <c r="C4" s="3"/>
      <c r="D4" s="3"/>
    </row>
    <row r="5" spans="1:4" ht="15.6" x14ac:dyDescent="0.3">
      <c r="A5" s="30" t="s">
        <v>14</v>
      </c>
      <c r="B5" s="30"/>
      <c r="C5" s="30"/>
      <c r="D5" s="4">
        <f>D2+D3</f>
        <v>105000</v>
      </c>
    </row>
    <row r="6" spans="1:4" ht="15.6" x14ac:dyDescent="0.3">
      <c r="A6" s="30" t="s">
        <v>16</v>
      </c>
      <c r="B6" s="30"/>
      <c r="C6" s="30"/>
      <c r="D6" s="4">
        <v>40000</v>
      </c>
    </row>
    <row r="7" spans="1:4" ht="15.6" x14ac:dyDescent="0.3">
      <c r="A7" s="30" t="s">
        <v>15</v>
      </c>
      <c r="B7" s="30"/>
      <c r="C7" s="30"/>
      <c r="D7" s="4">
        <f>D5 - D6</f>
        <v>65000</v>
      </c>
    </row>
  </sheetData>
  <mergeCells count="3">
    <mergeCell ref="A5:C5"/>
    <mergeCell ref="A6:C6"/>
    <mergeCell ref="A7:C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"/>
  <sheetViews>
    <sheetView workbookViewId="0">
      <selection activeCell="F20" sqref="F20"/>
    </sheetView>
  </sheetViews>
  <sheetFormatPr defaultRowHeight="14.4" x14ac:dyDescent="0.3"/>
  <cols>
    <col min="1" max="1" width="20.33203125" customWidth="1"/>
    <col min="2" max="2" width="14" customWidth="1"/>
    <col min="3" max="3" width="15.44140625" customWidth="1"/>
    <col min="4" max="4" width="9.77734375" customWidth="1"/>
  </cols>
  <sheetData>
    <row r="1" spans="1:16" ht="15.6" x14ac:dyDescent="0.3">
      <c r="A1" s="1" t="s">
        <v>17</v>
      </c>
      <c r="B1" s="1" t="s">
        <v>18</v>
      </c>
      <c r="C1" s="1" t="s">
        <v>19</v>
      </c>
      <c r="D1" s="1" t="s">
        <v>11</v>
      </c>
    </row>
    <row r="2" spans="1:16" ht="15.6" x14ac:dyDescent="0.3">
      <c r="A2" s="2" t="s">
        <v>20</v>
      </c>
      <c r="B2" s="2">
        <v>450000</v>
      </c>
      <c r="C2" s="2">
        <v>-350000</v>
      </c>
      <c r="D2" s="2">
        <f>0.5*B2 + 0.5*C2</f>
        <v>50000</v>
      </c>
    </row>
    <row r="3" spans="1:16" ht="15.6" x14ac:dyDescent="0.3">
      <c r="A3" s="2" t="s">
        <v>21</v>
      </c>
      <c r="B3" s="2">
        <v>300000</v>
      </c>
      <c r="C3" s="2">
        <v>-60000</v>
      </c>
      <c r="D3" s="2">
        <f>0.5*B3 + 0.5*C3</f>
        <v>120000</v>
      </c>
    </row>
    <row r="4" spans="1:16" ht="15.6" x14ac:dyDescent="0.3">
      <c r="A4" s="2" t="s">
        <v>22</v>
      </c>
      <c r="B4" s="2">
        <v>70000</v>
      </c>
      <c r="C4" s="2">
        <v>70000</v>
      </c>
      <c r="D4" s="2">
        <f>0.5*B4 + 0.5*C4</f>
        <v>70000</v>
      </c>
    </row>
    <row r="5" spans="1:16" ht="15.6" x14ac:dyDescent="0.3">
      <c r="A5" s="3"/>
      <c r="B5" s="3"/>
      <c r="C5" s="3"/>
      <c r="D5" s="3"/>
    </row>
    <row r="6" spans="1:16" ht="15.6" x14ac:dyDescent="0.3">
      <c r="A6" s="2" t="s">
        <v>23</v>
      </c>
      <c r="B6" s="3"/>
      <c r="C6" s="4" t="s">
        <v>21</v>
      </c>
      <c r="D6" s="3"/>
    </row>
    <row r="7" spans="1:16" ht="15.6" x14ac:dyDescent="0.3">
      <c r="A7" s="3"/>
      <c r="B7" s="3"/>
      <c r="C7" s="3"/>
      <c r="D7" s="3"/>
    </row>
    <row r="8" spans="1:16" ht="15.6" x14ac:dyDescent="0.3">
      <c r="A8" s="3"/>
      <c r="B8" s="3"/>
      <c r="C8" s="3"/>
      <c r="D8" s="3"/>
    </row>
    <row r="9" spans="1:16" ht="15.6" x14ac:dyDescent="0.3">
      <c r="A9" s="4" t="s">
        <v>60</v>
      </c>
      <c r="B9" s="3"/>
      <c r="C9" s="3"/>
      <c r="D9" s="3"/>
    </row>
    <row r="11" spans="1:16" ht="15.6" x14ac:dyDescent="0.3">
      <c r="A11" s="3" t="s">
        <v>63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</sheetData>
  <pageMargins left="0.75" right="0.75" top="1" bottom="1" header="0.5" footer="0.5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5"/>
  <sheetViews>
    <sheetView workbookViewId="0">
      <selection activeCell="K27" sqref="K27"/>
    </sheetView>
  </sheetViews>
  <sheetFormatPr defaultRowHeight="14.4" x14ac:dyDescent="0.3"/>
  <cols>
    <col min="1" max="1" width="25.21875" customWidth="1"/>
    <col min="3" max="3" width="11.21875" customWidth="1"/>
    <col min="6" max="6" width="10" customWidth="1"/>
  </cols>
  <sheetData>
    <row r="1" spans="1:20" ht="15.6" x14ac:dyDescent="0.3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5.6" x14ac:dyDescent="0.3">
      <c r="A2" s="2"/>
      <c r="B2" s="2">
        <v>0.8</v>
      </c>
      <c r="C2" s="2">
        <v>0.2</v>
      </c>
      <c r="D2" s="2">
        <v>0.3</v>
      </c>
      <c r="E2" s="2">
        <v>0.7</v>
      </c>
      <c r="F2" s="2">
        <v>25000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15.6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15.6" x14ac:dyDescent="0.3">
      <c r="A4" s="38" t="s">
        <v>30</v>
      </c>
      <c r="B4" s="30"/>
      <c r="C4" s="30"/>
      <c r="D4" s="30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15.6" x14ac:dyDescent="0.3">
      <c r="A5" s="2"/>
      <c r="B5" s="2"/>
      <c r="C5" s="2"/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ht="16.2" thickBot="1" x14ac:dyDescent="0.35">
      <c r="A6" s="1" t="s">
        <v>31</v>
      </c>
      <c r="B6" s="1" t="s">
        <v>32</v>
      </c>
      <c r="C6" s="1" t="s">
        <v>33</v>
      </c>
      <c r="D6" s="1" t="s">
        <v>11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15.6" x14ac:dyDescent="0.3">
      <c r="A7" s="2" t="s">
        <v>20</v>
      </c>
      <c r="B7" s="2">
        <v>450000</v>
      </c>
      <c r="C7" s="2">
        <v>-350000</v>
      </c>
      <c r="D7" s="2">
        <f>0.8*B7 + 0.2*C7</f>
        <v>290000</v>
      </c>
      <c r="E7" s="3"/>
      <c r="F7" s="15" t="s">
        <v>60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7"/>
    </row>
    <row r="8" spans="1:20" ht="15.6" x14ac:dyDescent="0.3">
      <c r="A8" s="2" t="s">
        <v>21</v>
      </c>
      <c r="B8" s="2">
        <v>300000</v>
      </c>
      <c r="C8" s="2">
        <v>-60000</v>
      </c>
      <c r="D8" s="2">
        <f t="shared" ref="D8" si="0">0.8*B8 + 0.2*C8</f>
        <v>228000</v>
      </c>
      <c r="E8" s="3"/>
      <c r="F8" s="6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</row>
    <row r="9" spans="1:20" ht="15.6" x14ac:dyDescent="0.3">
      <c r="A9" s="2" t="s">
        <v>34</v>
      </c>
      <c r="B9" s="2">
        <v>70000</v>
      </c>
      <c r="C9" s="2">
        <v>70000</v>
      </c>
      <c r="D9" s="2">
        <v>70000</v>
      </c>
      <c r="E9" s="3"/>
      <c r="F9" s="31" t="s">
        <v>64</v>
      </c>
      <c r="G9" s="32"/>
      <c r="H9" s="32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8"/>
    </row>
    <row r="10" spans="1:20" ht="15.6" x14ac:dyDescent="0.3">
      <c r="A10" s="2" t="s">
        <v>35</v>
      </c>
      <c r="B10" s="2"/>
      <c r="C10" s="2"/>
      <c r="D10" s="1">
        <f>MAX(D7:D9)</f>
        <v>290000</v>
      </c>
      <c r="E10" s="3"/>
      <c r="F10" s="18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8"/>
    </row>
    <row r="11" spans="1:20" ht="15.6" x14ac:dyDescent="0.3">
      <c r="A11" s="2"/>
      <c r="B11" s="2"/>
      <c r="C11" s="2"/>
      <c r="D11" s="2"/>
      <c r="E11" s="3"/>
      <c r="F11" s="33" t="s">
        <v>65</v>
      </c>
      <c r="G11" s="34"/>
      <c r="H11" s="34"/>
      <c r="I11" s="34"/>
      <c r="J11" s="34"/>
      <c r="K11" s="34"/>
      <c r="L11" s="34"/>
      <c r="M11" s="34"/>
      <c r="N11" s="19"/>
      <c r="O11" s="19"/>
      <c r="P11" s="7"/>
      <c r="Q11" s="7"/>
      <c r="R11" s="7"/>
      <c r="S11" s="7"/>
      <c r="T11" s="8"/>
    </row>
    <row r="12" spans="1:20" ht="15.6" x14ac:dyDescent="0.3">
      <c r="A12" s="38" t="s">
        <v>36</v>
      </c>
      <c r="B12" s="38"/>
      <c r="C12" s="38"/>
      <c r="D12" s="38"/>
      <c r="E12" s="3"/>
      <c r="F12" s="20"/>
      <c r="G12" s="21"/>
      <c r="H12" s="21"/>
      <c r="I12" s="21"/>
      <c r="J12" s="21"/>
      <c r="K12" s="21"/>
      <c r="L12" s="21"/>
      <c r="M12" s="21"/>
      <c r="N12" s="19"/>
      <c r="O12" s="19"/>
      <c r="P12" s="7"/>
      <c r="Q12" s="7"/>
      <c r="R12" s="7"/>
      <c r="S12" s="7"/>
      <c r="T12" s="8"/>
    </row>
    <row r="13" spans="1:20" ht="15.6" x14ac:dyDescent="0.3">
      <c r="A13" s="2"/>
      <c r="B13" s="2"/>
      <c r="C13" s="2"/>
      <c r="D13" s="2"/>
      <c r="E13" s="3"/>
      <c r="F13" s="33" t="s">
        <v>66</v>
      </c>
      <c r="G13" s="34"/>
      <c r="H13" s="34"/>
      <c r="I13" s="34"/>
      <c r="J13" s="34"/>
      <c r="K13" s="34"/>
      <c r="L13" s="34"/>
      <c r="M13" s="34"/>
      <c r="N13" s="34"/>
      <c r="O13" s="34"/>
      <c r="P13" s="7"/>
      <c r="Q13" s="7"/>
      <c r="R13" s="7"/>
      <c r="S13" s="7"/>
      <c r="T13" s="8"/>
    </row>
    <row r="14" spans="1:20" ht="15.6" x14ac:dyDescent="0.3">
      <c r="A14" s="1" t="s">
        <v>31</v>
      </c>
      <c r="B14" s="1" t="s">
        <v>32</v>
      </c>
      <c r="C14" s="1" t="s">
        <v>33</v>
      </c>
      <c r="D14" s="1" t="s">
        <v>11</v>
      </c>
      <c r="E14" s="3"/>
      <c r="F14" s="18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8"/>
    </row>
    <row r="15" spans="1:20" ht="15.6" x14ac:dyDescent="0.3">
      <c r="A15" s="2" t="s">
        <v>20</v>
      </c>
      <c r="B15" s="2">
        <v>450000</v>
      </c>
      <c r="C15" s="2">
        <v>-350000</v>
      </c>
      <c r="D15" s="2">
        <f>0.3*B15 + 0.2*C15</f>
        <v>65000</v>
      </c>
      <c r="E15" s="3"/>
      <c r="F15" s="33" t="s">
        <v>67</v>
      </c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7"/>
      <c r="S15" s="7"/>
      <c r="T15" s="8"/>
    </row>
    <row r="16" spans="1:20" ht="15.6" x14ac:dyDescent="0.3">
      <c r="A16" s="2" t="s">
        <v>21</v>
      </c>
      <c r="B16" s="2">
        <v>300000</v>
      </c>
      <c r="C16" s="2">
        <v>-60000</v>
      </c>
      <c r="D16" s="2">
        <f>0.3*B16 + 0.7*C16</f>
        <v>48000</v>
      </c>
      <c r="E16" s="3"/>
      <c r="F16" s="18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8"/>
    </row>
    <row r="17" spans="1:20" ht="15.6" x14ac:dyDescent="0.3">
      <c r="A17" s="2" t="s">
        <v>34</v>
      </c>
      <c r="B17" s="2">
        <v>70000</v>
      </c>
      <c r="C17" s="2">
        <v>70000</v>
      </c>
      <c r="D17" s="2">
        <f>70000</f>
        <v>70000</v>
      </c>
      <c r="E17" s="3"/>
      <c r="F17" s="35" t="s">
        <v>68</v>
      </c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7"/>
    </row>
    <row r="18" spans="1:20" ht="15.6" x14ac:dyDescent="0.3">
      <c r="A18" s="2" t="s">
        <v>35</v>
      </c>
      <c r="B18" s="2"/>
      <c r="C18" s="2"/>
      <c r="D18" s="1">
        <f>MAX(D15:D17)</f>
        <v>70000</v>
      </c>
      <c r="E18" s="3"/>
      <c r="F18" s="22"/>
      <c r="G18" s="23"/>
      <c r="H18" s="23"/>
      <c r="I18" s="23"/>
      <c r="J18" s="23"/>
      <c r="K18" s="23"/>
      <c r="L18" s="23"/>
      <c r="M18" s="7"/>
      <c r="N18" s="7"/>
      <c r="O18" s="7"/>
      <c r="P18" s="7"/>
      <c r="Q18" s="7"/>
      <c r="R18" s="7"/>
      <c r="S18" s="7"/>
      <c r="T18" s="8"/>
    </row>
    <row r="19" spans="1:20" ht="16.2" thickBot="1" x14ac:dyDescent="0.35">
      <c r="A19" s="2"/>
      <c r="B19" s="2"/>
      <c r="C19" s="2"/>
      <c r="D19" s="2"/>
      <c r="E19" s="3"/>
      <c r="F19" s="24" t="s">
        <v>61</v>
      </c>
      <c r="G19" s="10"/>
      <c r="H19" s="10"/>
      <c r="I19" s="10"/>
      <c r="J19" s="10"/>
      <c r="K19" s="10"/>
      <c r="L19" s="9"/>
      <c r="M19" s="9"/>
      <c r="N19" s="9"/>
      <c r="O19" s="9"/>
      <c r="P19" s="9"/>
      <c r="Q19" s="9"/>
      <c r="R19" s="9"/>
      <c r="S19" s="9"/>
      <c r="T19" s="11"/>
    </row>
    <row r="20" spans="1:20" ht="15.6" x14ac:dyDescent="0.3">
      <c r="A20" s="38" t="s">
        <v>37</v>
      </c>
      <c r="B20" s="38"/>
      <c r="C20" s="38"/>
      <c r="D20" s="38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ht="15.6" x14ac:dyDescent="0.3">
      <c r="A21" s="2"/>
      <c r="B21" s="1"/>
      <c r="C21" s="2"/>
      <c r="D21" s="2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ht="15.6" x14ac:dyDescent="0.3">
      <c r="A22" s="39" t="s">
        <v>38</v>
      </c>
      <c r="B22" s="39"/>
      <c r="C22" s="39"/>
      <c r="D22" s="1" t="s">
        <v>39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ht="15.6" x14ac:dyDescent="0.3">
      <c r="A23" s="30" t="s">
        <v>40</v>
      </c>
      <c r="B23" s="30"/>
      <c r="C23" s="30"/>
      <c r="D23" s="2">
        <f>0.75*D9 + 0.25*D15</f>
        <v>68750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ht="15.6" x14ac:dyDescent="0.3">
      <c r="A24" s="30" t="s">
        <v>41</v>
      </c>
      <c r="B24" s="30"/>
      <c r="C24" s="30"/>
      <c r="D24" s="2">
        <f>D16 - F2</f>
        <v>23000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ht="15.6" x14ac:dyDescent="0.3">
      <c r="A25" s="30" t="s">
        <v>42</v>
      </c>
      <c r="B25" s="30"/>
      <c r="C25" s="30"/>
      <c r="D25" s="2">
        <v>120000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</sheetData>
  <mergeCells count="12">
    <mergeCell ref="A24:C24"/>
    <mergeCell ref="A25:C25"/>
    <mergeCell ref="A4:D4"/>
    <mergeCell ref="A12:D12"/>
    <mergeCell ref="A20:D20"/>
    <mergeCell ref="A22:C22"/>
    <mergeCell ref="A23:C23"/>
    <mergeCell ref="F9:H9"/>
    <mergeCell ref="F13:O13"/>
    <mergeCell ref="F15:Q15"/>
    <mergeCell ref="F17:T17"/>
    <mergeCell ref="F11:M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4"/>
  <sheetViews>
    <sheetView workbookViewId="0">
      <selection activeCell="J23" sqref="J23"/>
    </sheetView>
  </sheetViews>
  <sheetFormatPr defaultRowHeight="15.6" x14ac:dyDescent="0.3"/>
  <cols>
    <col min="1" max="1" width="11.21875" style="3" customWidth="1"/>
    <col min="2" max="2" width="16.5546875" style="3" customWidth="1"/>
    <col min="3" max="3" width="17.6640625" style="3" customWidth="1"/>
    <col min="4" max="15" width="8.88671875" style="3"/>
    <col min="16" max="16" width="16.77734375" style="3" customWidth="1"/>
    <col min="17" max="16384" width="8.88671875" style="3"/>
  </cols>
  <sheetData>
    <row r="1" spans="1:16" ht="16.2" thickBot="1" x14ac:dyDescent="0.35">
      <c r="A1" s="38" t="s">
        <v>43</v>
      </c>
      <c r="B1" s="38"/>
      <c r="C1" s="38"/>
      <c r="D1" s="2"/>
    </row>
    <row r="2" spans="1:16" x14ac:dyDescent="0.3">
      <c r="A2" s="2"/>
      <c r="B2" s="2"/>
      <c r="C2" s="2"/>
      <c r="D2" s="2"/>
      <c r="F2" s="15" t="s">
        <v>60</v>
      </c>
      <c r="G2" s="16"/>
      <c r="H2" s="16"/>
      <c r="I2" s="16"/>
      <c r="J2" s="16"/>
      <c r="K2" s="16"/>
      <c r="L2" s="16"/>
      <c r="M2" s="16"/>
      <c r="N2" s="16"/>
      <c r="O2" s="16"/>
      <c r="P2" s="17"/>
    </row>
    <row r="3" spans="1:16" x14ac:dyDescent="0.3">
      <c r="A3" s="1" t="s">
        <v>44</v>
      </c>
      <c r="B3" s="1" t="s">
        <v>45</v>
      </c>
      <c r="C3" s="1" t="s">
        <v>46</v>
      </c>
      <c r="D3" s="2"/>
      <c r="F3" s="6"/>
      <c r="G3" s="7"/>
      <c r="H3" s="7"/>
      <c r="I3" s="7"/>
      <c r="J3" s="7"/>
      <c r="K3" s="7"/>
      <c r="L3" s="7"/>
      <c r="M3" s="7"/>
      <c r="N3" s="7"/>
      <c r="O3" s="7"/>
      <c r="P3" s="8"/>
    </row>
    <row r="4" spans="1:16" x14ac:dyDescent="0.3">
      <c r="A4" s="25">
        <v>0.01</v>
      </c>
      <c r="B4" s="2">
        <v>0.4</v>
      </c>
      <c r="C4" s="2">
        <v>0.45</v>
      </c>
      <c r="D4" s="2"/>
      <c r="F4" s="29" t="s">
        <v>69</v>
      </c>
      <c r="G4" s="7"/>
      <c r="H4" s="7"/>
      <c r="I4" s="7"/>
      <c r="J4" s="7"/>
      <c r="K4" s="7"/>
      <c r="L4" s="7"/>
      <c r="M4" s="7"/>
      <c r="N4" s="7"/>
      <c r="O4" s="7"/>
      <c r="P4" s="8"/>
    </row>
    <row r="5" spans="1:16" x14ac:dyDescent="0.3">
      <c r="A5" s="25">
        <v>0.02</v>
      </c>
      <c r="B5" s="2">
        <v>0.2</v>
      </c>
      <c r="C5" s="2">
        <v>0.25</v>
      </c>
      <c r="D5" s="2"/>
      <c r="F5" s="18"/>
      <c r="G5" s="7"/>
      <c r="H5" s="7"/>
      <c r="I5" s="7"/>
      <c r="J5" s="7"/>
      <c r="K5" s="7"/>
      <c r="L5" s="7"/>
      <c r="M5" s="7"/>
      <c r="N5" s="7"/>
      <c r="O5" s="7"/>
      <c r="P5" s="8"/>
    </row>
    <row r="6" spans="1:16" x14ac:dyDescent="0.3">
      <c r="A6" s="25">
        <v>0.03</v>
      </c>
      <c r="B6" s="2">
        <v>0.1</v>
      </c>
      <c r="C6" s="2">
        <v>0.2</v>
      </c>
      <c r="D6" s="2"/>
      <c r="F6" s="18" t="s">
        <v>70</v>
      </c>
      <c r="G6" s="7"/>
      <c r="H6" s="7"/>
      <c r="I6" s="7"/>
      <c r="J6" s="7"/>
      <c r="K6" s="7"/>
      <c r="L6" s="7"/>
      <c r="M6" s="7"/>
      <c r="N6" s="7"/>
      <c r="O6" s="7"/>
      <c r="P6" s="8"/>
    </row>
    <row r="7" spans="1:16" x14ac:dyDescent="0.3">
      <c r="A7" s="25">
        <v>0.04</v>
      </c>
      <c r="B7" s="2">
        <v>0.1</v>
      </c>
      <c r="C7" s="2">
        <v>0.1</v>
      </c>
      <c r="D7" s="2"/>
      <c r="F7" s="18"/>
      <c r="G7" s="7"/>
      <c r="H7" s="7"/>
      <c r="I7" s="7"/>
      <c r="J7" s="7"/>
      <c r="K7" s="7"/>
      <c r="L7" s="7"/>
      <c r="M7" s="7"/>
      <c r="N7" s="7"/>
      <c r="O7" s="7"/>
      <c r="P7" s="8"/>
    </row>
    <row r="8" spans="1:16" x14ac:dyDescent="0.3">
      <c r="A8" s="25">
        <v>0.05</v>
      </c>
      <c r="B8" s="2">
        <v>0.1</v>
      </c>
      <c r="C8" s="2">
        <v>0.1</v>
      </c>
      <c r="D8" s="2"/>
      <c r="F8" s="18" t="s">
        <v>62</v>
      </c>
      <c r="G8" s="7"/>
      <c r="H8" s="7"/>
      <c r="I8" s="7"/>
      <c r="J8" s="7"/>
      <c r="K8" s="7"/>
      <c r="L8" s="7"/>
      <c r="M8" s="7"/>
      <c r="N8" s="7"/>
      <c r="O8" s="7"/>
      <c r="P8" s="8"/>
    </row>
    <row r="9" spans="1:16" x14ac:dyDescent="0.3">
      <c r="A9" s="2"/>
      <c r="B9" s="2"/>
      <c r="C9" s="2"/>
      <c r="D9" s="2"/>
      <c r="F9" s="18"/>
      <c r="G9" s="7"/>
      <c r="H9" s="7"/>
      <c r="I9" s="7"/>
      <c r="J9" s="7"/>
      <c r="K9" s="7"/>
      <c r="L9" s="7"/>
      <c r="M9" s="7"/>
      <c r="N9" s="7"/>
      <c r="O9" s="7"/>
      <c r="P9" s="8"/>
    </row>
    <row r="10" spans="1:16" x14ac:dyDescent="0.3">
      <c r="A10" s="38" t="s">
        <v>47</v>
      </c>
      <c r="B10" s="38"/>
      <c r="C10" s="38"/>
      <c r="D10" s="2"/>
      <c r="F10" s="18"/>
      <c r="G10" s="7"/>
      <c r="H10" s="7"/>
      <c r="I10" s="7"/>
      <c r="J10" s="7"/>
      <c r="K10" s="7"/>
      <c r="L10" s="7"/>
      <c r="M10" s="7"/>
      <c r="N10" s="7"/>
      <c r="O10" s="7"/>
      <c r="P10" s="8"/>
    </row>
    <row r="11" spans="1:16" x14ac:dyDescent="0.3">
      <c r="A11" s="2"/>
      <c r="B11" s="2"/>
      <c r="C11" s="2"/>
      <c r="D11" s="2"/>
      <c r="F11" s="26"/>
      <c r="G11" s="7"/>
      <c r="H11" s="7"/>
      <c r="I11" s="7"/>
      <c r="J11" s="7"/>
      <c r="K11" s="7"/>
      <c r="L11" s="7"/>
      <c r="M11" s="7"/>
      <c r="N11" s="7"/>
      <c r="O11" s="7"/>
      <c r="P11" s="8"/>
    </row>
    <row r="12" spans="1:16" x14ac:dyDescent="0.3">
      <c r="A12" s="38" t="s">
        <v>38</v>
      </c>
      <c r="B12" s="38"/>
      <c r="C12" s="1" t="s">
        <v>58</v>
      </c>
      <c r="D12" s="2"/>
      <c r="F12" s="27" t="s">
        <v>71</v>
      </c>
      <c r="G12" s="7"/>
      <c r="H12" s="7"/>
      <c r="I12" s="7"/>
      <c r="J12" s="7"/>
      <c r="K12" s="7"/>
      <c r="L12" s="7"/>
      <c r="M12" s="7"/>
      <c r="N12" s="7"/>
      <c r="O12" s="7"/>
      <c r="P12" s="8"/>
    </row>
    <row r="13" spans="1:16" x14ac:dyDescent="0.3">
      <c r="A13" s="30" t="s">
        <v>48</v>
      </c>
      <c r="B13" s="30"/>
      <c r="C13" s="2">
        <v>150</v>
      </c>
      <c r="D13" s="2"/>
      <c r="F13" s="26"/>
      <c r="G13" s="7"/>
      <c r="H13" s="7"/>
      <c r="I13" s="7"/>
      <c r="J13" s="7"/>
      <c r="K13" s="7"/>
      <c r="L13" s="7"/>
      <c r="M13" s="7"/>
      <c r="N13" s="7"/>
      <c r="O13" s="7"/>
      <c r="P13" s="8"/>
    </row>
    <row r="14" spans="1:16" x14ac:dyDescent="0.3">
      <c r="A14" s="30" t="s">
        <v>49</v>
      </c>
      <c r="B14" s="30"/>
      <c r="C14" s="2">
        <v>10000</v>
      </c>
      <c r="D14" s="2"/>
      <c r="F14" s="27" t="s">
        <v>72</v>
      </c>
      <c r="G14" s="7"/>
      <c r="H14" s="7"/>
      <c r="I14" s="7"/>
      <c r="J14" s="7"/>
      <c r="K14" s="7"/>
      <c r="L14" s="7"/>
      <c r="M14" s="7"/>
      <c r="N14" s="7"/>
      <c r="O14" s="7"/>
      <c r="P14" s="8"/>
    </row>
    <row r="15" spans="1:16" x14ac:dyDescent="0.3">
      <c r="A15" s="30" t="s">
        <v>59</v>
      </c>
      <c r="B15" s="30"/>
      <c r="C15" s="2">
        <v>1100</v>
      </c>
      <c r="D15" s="2"/>
      <c r="F15" s="18"/>
      <c r="G15" s="7"/>
      <c r="H15" s="7"/>
      <c r="I15" s="7"/>
      <c r="J15" s="7"/>
      <c r="K15" s="7"/>
      <c r="L15" s="7"/>
      <c r="M15" s="7"/>
      <c r="N15" s="7"/>
      <c r="O15" s="7"/>
      <c r="P15" s="8"/>
    </row>
    <row r="16" spans="1:16" ht="16.2" thickBot="1" x14ac:dyDescent="0.35">
      <c r="A16" s="2"/>
      <c r="B16" s="2"/>
      <c r="C16" s="2"/>
      <c r="D16" s="2"/>
      <c r="F16" s="28" t="s">
        <v>73</v>
      </c>
      <c r="G16" s="9"/>
      <c r="H16" s="9"/>
      <c r="I16" s="9"/>
      <c r="J16" s="9"/>
      <c r="K16" s="9"/>
      <c r="L16" s="9"/>
      <c r="M16" s="9"/>
      <c r="N16" s="9"/>
      <c r="O16" s="9"/>
      <c r="P16" s="11"/>
    </row>
    <row r="17" spans="1:4" x14ac:dyDescent="0.3">
      <c r="A17" s="38" t="s">
        <v>50</v>
      </c>
      <c r="B17" s="38"/>
      <c r="C17" s="38"/>
      <c r="D17" s="2"/>
    </row>
    <row r="18" spans="1:4" x14ac:dyDescent="0.3">
      <c r="A18" s="2"/>
      <c r="B18" s="2"/>
      <c r="C18" s="2"/>
      <c r="D18" s="2"/>
    </row>
    <row r="19" spans="1:4" x14ac:dyDescent="0.3">
      <c r="A19" s="38" t="s">
        <v>51</v>
      </c>
      <c r="B19" s="38"/>
      <c r="C19" s="1" t="s">
        <v>52</v>
      </c>
      <c r="D19" s="2"/>
    </row>
    <row r="20" spans="1:4" x14ac:dyDescent="0.3">
      <c r="A20" s="30" t="s">
        <v>53</v>
      </c>
      <c r="B20" s="30"/>
      <c r="C20" s="2">
        <f t="array" ref="C20">SUM(B4*1 + B5*2 + B6*3 + B7*4 + B8*5)</f>
        <v>2</v>
      </c>
      <c r="D20" s="2"/>
    </row>
    <row r="21" spans="1:4" x14ac:dyDescent="0.3">
      <c r="A21" s="30" t="s">
        <v>54</v>
      </c>
      <c r="B21" s="30"/>
      <c r="C21" s="2">
        <f>C20*C14*C13</f>
        <v>3000000</v>
      </c>
      <c r="D21" s="2"/>
    </row>
    <row r="22" spans="1:4" x14ac:dyDescent="0.3">
      <c r="A22" s="30" t="s">
        <v>55</v>
      </c>
      <c r="B22" s="30"/>
      <c r="C22" s="2">
        <f t="array" ref="C22">SUM(C4*1 + C5*2 + C6*3 + C7*4 + C8*5)</f>
        <v>2.4500000000000002</v>
      </c>
      <c r="D22" s="2"/>
    </row>
    <row r="23" spans="1:4" x14ac:dyDescent="0.3">
      <c r="A23" s="30" t="s">
        <v>56</v>
      </c>
      <c r="B23" s="30"/>
      <c r="C23" s="2">
        <f>C22*C14*C13 - C15</f>
        <v>3673900</v>
      </c>
      <c r="D23" s="2"/>
    </row>
    <row r="24" spans="1:4" x14ac:dyDescent="0.3">
      <c r="A24" s="30" t="s">
        <v>57</v>
      </c>
      <c r="B24" s="30"/>
      <c r="C24" s="2" t="str">
        <f>IF(C21&lt;C23, "A", "B")</f>
        <v>A</v>
      </c>
      <c r="D24" s="2"/>
    </row>
  </sheetData>
  <mergeCells count="13">
    <mergeCell ref="A10:C10"/>
    <mergeCell ref="A1:C1"/>
    <mergeCell ref="A19:B19"/>
    <mergeCell ref="A20:B20"/>
    <mergeCell ref="A22:B22"/>
    <mergeCell ref="A21:B21"/>
    <mergeCell ref="A23:B23"/>
    <mergeCell ref="A24:B24"/>
    <mergeCell ref="A12:B12"/>
    <mergeCell ref="A13:B13"/>
    <mergeCell ref="A14:B14"/>
    <mergeCell ref="A15:B15"/>
    <mergeCell ref="A17:C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6</vt:i4>
      </vt:variant>
    </vt:vector>
  </HeadingPairs>
  <TitlesOfParts>
    <vt:vector size="6" baseType="lpstr">
      <vt:lpstr>Приклад 2.1</vt:lpstr>
      <vt:lpstr>Приклад 2.2</vt:lpstr>
      <vt:lpstr>Завдання 1</vt:lpstr>
      <vt:lpstr>Завдання 2</vt:lpstr>
      <vt:lpstr>Завдання 3</vt:lpstr>
      <vt:lpstr>Дерева рішень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Макс Горецький</cp:lastModifiedBy>
  <dcterms:created xsi:type="dcterms:W3CDTF">2025-04-19T16:41:52Z</dcterms:created>
  <dcterms:modified xsi:type="dcterms:W3CDTF">2025-04-21T15:31:21Z</dcterms:modified>
</cp:coreProperties>
</file>