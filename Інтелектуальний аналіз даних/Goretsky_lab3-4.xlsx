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edu\education\Інтелектуальний аналіз даних\"/>
    </mc:Choice>
  </mc:AlternateContent>
  <xr:revisionPtr revIDLastSave="0" documentId="13_ncr:1_{7F981EA3-9E97-44A6-94B0-94ED114E9A40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Колективна 1 - постановк" sheetId="1" r:id="rId1"/>
    <sheet name="колективна 1 - розв'язання" sheetId="2" r:id="rId2"/>
    <sheet name="Аркуш4" sheetId="5" r:id="rId3"/>
    <sheet name="Аркуш2" sheetId="3" r:id="rId4"/>
    <sheet name="Аркуш3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2" l="1" a="1"/>
  <c r="D18" i="2" s="1"/>
  <c r="C18" i="2"/>
  <c r="B18" i="2"/>
  <c r="A18" i="2"/>
  <c r="G4" i="2"/>
  <c r="G5" i="2"/>
  <c r="D15" i="2"/>
  <c r="C15" i="2"/>
  <c r="B15" i="2"/>
  <c r="A15" i="2"/>
  <c r="D3" i="2"/>
  <c r="D4" i="2"/>
  <c r="D5" i="2"/>
  <c r="D6" i="2"/>
  <c r="D7" i="2"/>
  <c r="D8" i="2"/>
  <c r="D9" i="2"/>
  <c r="D10" i="2"/>
  <c r="D11" i="2"/>
  <c r="D12" i="2"/>
  <c r="D13" i="2"/>
  <c r="D2" i="2"/>
  <c r="C3" i="2"/>
  <c r="C4" i="2"/>
  <c r="C5" i="2"/>
  <c r="C6" i="2"/>
  <c r="C7" i="2"/>
  <c r="C8" i="2"/>
  <c r="C9" i="2"/>
  <c r="C10" i="2"/>
  <c r="C11" i="2"/>
  <c r="C12" i="2"/>
  <c r="C13" i="2"/>
  <c r="C2" i="2"/>
</calcChain>
</file>

<file path=xl/sharedStrings.xml><?xml version="1.0" encoding="utf-8"?>
<sst xmlns="http://schemas.openxmlformats.org/spreadsheetml/2006/main" count="22" uniqueCount="18">
  <si>
    <t>Завдання 1. Постановка задачі: для виявлення зв’язку між ознаками у та х проведено серію експериментів і отримано такі результати:</t>
  </si>
  <si>
    <t>x</t>
  </si>
  <si>
    <t>y</t>
  </si>
  <si>
    <t>Побудувати регресійну модель – здійснити розрахунок рівняння лінійної регресії.</t>
  </si>
  <si>
    <t>X</t>
  </si>
  <si>
    <t>Y</t>
  </si>
  <si>
    <t>X*Y</t>
  </si>
  <si>
    <t>X^2</t>
  </si>
  <si>
    <t>Коеф-ти регресії</t>
  </si>
  <si>
    <t>b0 =</t>
  </si>
  <si>
    <t>b1 =</t>
  </si>
  <si>
    <t>Xc</t>
  </si>
  <si>
    <t>Yc</t>
  </si>
  <si>
    <t>Постановка задачі: визначити вид залежності ознаки Y від X за даними кореляційної таблиці. Побудувати кореляційне поле і лінію регресії за даними задачі.</t>
  </si>
  <si>
    <t>Xsum</t>
  </si>
  <si>
    <t>Ysum</t>
  </si>
  <si>
    <t>X*Ysum</t>
  </si>
  <si>
    <t>X^2sum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</si>
</sst>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'колективна 1 - розв''язання'!$B$1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'колективна 1 - розв''язання'!$A$2:$A$13</c:f>
              <c:numCache>
                <c:formatCode>General</c:formatCode>
                <c:ptCount val="12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7</c:v>
                </c:pt>
                <c:pt idx="4">
                  <c:v>13</c:v>
                </c:pt>
                <c:pt idx="5">
                  <c:v>11</c:v>
                </c:pt>
                <c:pt idx="6">
                  <c:v>23</c:v>
                </c:pt>
                <c:pt idx="7">
                  <c:v>28</c:v>
                </c:pt>
                <c:pt idx="8">
                  <c:v>18</c:v>
                </c:pt>
                <c:pt idx="9">
                  <c:v>9</c:v>
                </c:pt>
                <c:pt idx="10">
                  <c:v>12</c:v>
                </c:pt>
                <c:pt idx="11">
                  <c:v>13</c:v>
                </c:pt>
              </c:numCache>
            </c:numRef>
          </c:xVal>
          <c:yVal>
            <c:numRef>
              <c:f>'колективна 1 - розв''язання'!$B$2:$B$13</c:f>
              <c:numCache>
                <c:formatCode>General</c:formatCode>
                <c:ptCount val="12"/>
                <c:pt idx="0">
                  <c:v>64</c:v>
                </c:pt>
                <c:pt idx="1">
                  <c:v>71</c:v>
                </c:pt>
                <c:pt idx="2">
                  <c:v>54</c:v>
                </c:pt>
                <c:pt idx="3">
                  <c:v>71</c:v>
                </c:pt>
                <c:pt idx="4">
                  <c:v>93</c:v>
                </c:pt>
                <c:pt idx="5">
                  <c:v>76</c:v>
                </c:pt>
                <c:pt idx="6">
                  <c:v>87</c:v>
                </c:pt>
                <c:pt idx="7">
                  <c:v>109</c:v>
                </c:pt>
                <c:pt idx="8">
                  <c:v>83</c:v>
                </c:pt>
                <c:pt idx="9">
                  <c:v>75</c:v>
                </c:pt>
                <c:pt idx="10">
                  <c:v>79</c:v>
                </c:pt>
                <c:pt idx="11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0-4740-9377-0C85F0D81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903888"/>
        <c:axId val="415905136"/>
      </c:scatterChart>
      <c:valAx>
        <c:axId val="415903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15905136"/>
        <c:crosses val="autoZero"/>
        <c:crossBetween val="midCat"/>
      </c:valAx>
      <c:valAx>
        <c:axId val="41590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15903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1</xdr:row>
      <xdr:rowOff>179070</xdr:rowOff>
    </xdr:from>
    <xdr:to>
      <xdr:col>15</xdr:col>
      <xdr:colOff>312420</xdr:colOff>
      <xdr:row>16</xdr:row>
      <xdr:rowOff>179070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300AA22F-D1CC-44BF-819A-EE1ECFF6A3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workbookViewId="0">
      <selection activeCell="E23" sqref="E23"/>
    </sheetView>
  </sheetViews>
  <sheetFormatPr defaultRowHeight="18" x14ac:dyDescent="0.35"/>
  <cols>
    <col min="1" max="1" width="8.88671875" style="1" customWidth="1"/>
    <col min="2" max="16384" width="8.88671875" style="1"/>
  </cols>
  <sheetData>
    <row r="1" spans="1:17" ht="18.600000000000001" customHeigh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3" spans="1:17" x14ac:dyDescent="0.35">
      <c r="A3" s="2" t="s">
        <v>1</v>
      </c>
      <c r="B3" s="2">
        <v>5</v>
      </c>
      <c r="C3" s="2">
        <v>4</v>
      </c>
      <c r="D3" s="2">
        <v>3</v>
      </c>
      <c r="E3" s="2">
        <v>7</v>
      </c>
      <c r="F3" s="2">
        <v>13</v>
      </c>
      <c r="G3" s="2">
        <v>11</v>
      </c>
      <c r="H3" s="2">
        <v>23</v>
      </c>
      <c r="I3" s="2">
        <v>28</v>
      </c>
      <c r="J3" s="2">
        <v>18</v>
      </c>
      <c r="K3" s="2">
        <v>9</v>
      </c>
      <c r="L3" s="2">
        <v>12</v>
      </c>
      <c r="M3" s="2">
        <v>13</v>
      </c>
    </row>
    <row r="4" spans="1:17" x14ac:dyDescent="0.35">
      <c r="A4" s="2" t="s">
        <v>2</v>
      </c>
      <c r="B4" s="2">
        <v>64</v>
      </c>
      <c r="C4" s="2">
        <v>71</v>
      </c>
      <c r="D4" s="2">
        <v>54</v>
      </c>
      <c r="E4" s="2">
        <v>71</v>
      </c>
      <c r="F4" s="2">
        <v>93</v>
      </c>
      <c r="G4" s="2">
        <v>76</v>
      </c>
      <c r="H4" s="2">
        <v>87</v>
      </c>
      <c r="I4" s="2">
        <v>109</v>
      </c>
      <c r="J4" s="2">
        <v>83</v>
      </c>
      <c r="K4" s="2">
        <v>75</v>
      </c>
      <c r="L4" s="2">
        <v>79</v>
      </c>
      <c r="M4" s="2">
        <v>87</v>
      </c>
    </row>
    <row r="6" spans="1:17" x14ac:dyDescent="0.35">
      <c r="A6" s="4" t="s">
        <v>3</v>
      </c>
      <c r="B6" s="4"/>
      <c r="C6" s="4"/>
      <c r="D6" s="4"/>
      <c r="E6" s="4"/>
      <c r="F6" s="4"/>
      <c r="G6" s="4"/>
      <c r="H6" s="4"/>
      <c r="I6" s="4"/>
      <c r="J6" s="4"/>
    </row>
  </sheetData>
  <mergeCells count="2">
    <mergeCell ref="A1:Q1"/>
    <mergeCell ref="A6:J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138E9-9F85-4D8B-BEE5-91CE332C5EC1}">
  <dimension ref="A1:G18"/>
  <sheetViews>
    <sheetView tabSelected="1" workbookViewId="0">
      <selection activeCell="G23" sqref="G23"/>
    </sheetView>
  </sheetViews>
  <sheetFormatPr defaultRowHeight="14.4" x14ac:dyDescent="0.3"/>
  <sheetData>
    <row r="1" spans="1:7" x14ac:dyDescent="0.3">
      <c r="A1" t="s">
        <v>4</v>
      </c>
      <c r="B1" t="s">
        <v>5</v>
      </c>
      <c r="C1" t="s">
        <v>6</v>
      </c>
      <c r="D1" t="s">
        <v>7</v>
      </c>
    </row>
    <row r="2" spans="1:7" x14ac:dyDescent="0.3">
      <c r="A2">
        <v>5</v>
      </c>
      <c r="B2">
        <v>64</v>
      </c>
      <c r="C2">
        <f>A2*B2</f>
        <v>320</v>
      </c>
      <c r="D2">
        <f>A2*A2</f>
        <v>25</v>
      </c>
      <c r="F2" t="s">
        <v>8</v>
      </c>
    </row>
    <row r="3" spans="1:7" x14ac:dyDescent="0.3">
      <c r="A3">
        <v>4</v>
      </c>
      <c r="B3">
        <v>71</v>
      </c>
      <c r="C3">
        <f t="shared" ref="C3:C13" si="0">A3*B3</f>
        <v>284</v>
      </c>
      <c r="D3">
        <f t="shared" ref="D3:D13" si="1">A3*A3</f>
        <v>16</v>
      </c>
    </row>
    <row r="4" spans="1:7" x14ac:dyDescent="0.3">
      <c r="A4">
        <v>3</v>
      </c>
      <c r="B4">
        <v>54</v>
      </c>
      <c r="C4">
        <f t="shared" si="0"/>
        <v>162</v>
      </c>
      <c r="D4">
        <f t="shared" si="1"/>
        <v>9</v>
      </c>
      <c r="F4" t="s">
        <v>9</v>
      </c>
      <c r="G4">
        <f>B15-G5*A15</f>
        <v>58.993526670119081</v>
      </c>
    </row>
    <row r="5" spans="1:7" x14ac:dyDescent="0.3">
      <c r="A5">
        <v>7</v>
      </c>
      <c r="B5">
        <v>71</v>
      </c>
      <c r="C5">
        <f t="shared" si="0"/>
        <v>497</v>
      </c>
      <c r="D5">
        <f t="shared" si="1"/>
        <v>49</v>
      </c>
      <c r="F5" t="s">
        <v>10</v>
      </c>
      <c r="G5">
        <f>(C15-A15*B15)/(D15-A15*A15)</f>
        <v>1.6512169860176098</v>
      </c>
    </row>
    <row r="6" spans="1:7" x14ac:dyDescent="0.3">
      <c r="A6">
        <v>13</v>
      </c>
      <c r="B6">
        <v>93</v>
      </c>
      <c r="C6">
        <f t="shared" si="0"/>
        <v>1209</v>
      </c>
      <c r="D6">
        <f t="shared" si="1"/>
        <v>169</v>
      </c>
    </row>
    <row r="7" spans="1:7" x14ac:dyDescent="0.3">
      <c r="A7">
        <v>11</v>
      </c>
      <c r="B7">
        <v>76</v>
      </c>
      <c r="C7">
        <f t="shared" si="0"/>
        <v>836</v>
      </c>
      <c r="D7">
        <f t="shared" si="1"/>
        <v>121</v>
      </c>
    </row>
    <row r="8" spans="1:7" x14ac:dyDescent="0.3">
      <c r="A8">
        <v>23</v>
      </c>
      <c r="B8">
        <v>87</v>
      </c>
      <c r="C8">
        <f t="shared" si="0"/>
        <v>2001</v>
      </c>
      <c r="D8">
        <f t="shared" si="1"/>
        <v>529</v>
      </c>
    </row>
    <row r="9" spans="1:7" x14ac:dyDescent="0.3">
      <c r="A9">
        <v>28</v>
      </c>
      <c r="B9">
        <v>109</v>
      </c>
      <c r="C9">
        <f t="shared" si="0"/>
        <v>3052</v>
      </c>
      <c r="D9">
        <f t="shared" si="1"/>
        <v>784</v>
      </c>
    </row>
    <row r="10" spans="1:7" x14ac:dyDescent="0.3">
      <c r="A10">
        <v>18</v>
      </c>
      <c r="B10">
        <v>83</v>
      </c>
      <c r="C10">
        <f t="shared" si="0"/>
        <v>1494</v>
      </c>
      <c r="D10">
        <f t="shared" si="1"/>
        <v>324</v>
      </c>
    </row>
    <row r="11" spans="1:7" x14ac:dyDescent="0.3">
      <c r="A11">
        <v>9</v>
      </c>
      <c r="B11">
        <v>75</v>
      </c>
      <c r="C11">
        <f t="shared" si="0"/>
        <v>675</v>
      </c>
      <c r="D11">
        <f t="shared" si="1"/>
        <v>81</v>
      </c>
    </row>
    <row r="12" spans="1:7" x14ac:dyDescent="0.3">
      <c r="A12">
        <v>12</v>
      </c>
      <c r="B12">
        <v>79</v>
      </c>
      <c r="C12">
        <f t="shared" si="0"/>
        <v>948</v>
      </c>
      <c r="D12">
        <f t="shared" si="1"/>
        <v>144</v>
      </c>
    </row>
    <row r="13" spans="1:7" x14ac:dyDescent="0.3">
      <c r="A13">
        <v>13</v>
      </c>
      <c r="B13">
        <v>87</v>
      </c>
      <c r="C13">
        <f t="shared" si="0"/>
        <v>1131</v>
      </c>
      <c r="D13">
        <f t="shared" si="1"/>
        <v>169</v>
      </c>
    </row>
    <row r="14" spans="1:7" x14ac:dyDescent="0.3">
      <c r="A14" t="s">
        <v>11</v>
      </c>
      <c r="B14" t="s">
        <v>12</v>
      </c>
    </row>
    <row r="15" spans="1:7" x14ac:dyDescent="0.3">
      <c r="A15">
        <f>AVERAGE(A2:A13)</f>
        <v>12.166666666666666</v>
      </c>
      <c r="B15">
        <f>AVERAGE(B2:B13)</f>
        <v>79.083333333333329</v>
      </c>
      <c r="C15">
        <f>AVERAGE(C2:C13)</f>
        <v>1050.75</v>
      </c>
      <c r="D15">
        <f>AVERAGE(D2:D13)</f>
        <v>201.66666666666666</v>
      </c>
    </row>
    <row r="17" spans="1:4" x14ac:dyDescent="0.3">
      <c r="A17" t="s">
        <v>14</v>
      </c>
      <c r="B17" t="s">
        <v>15</v>
      </c>
      <c r="C17" t="s">
        <v>16</v>
      </c>
      <c r="D17" t="s">
        <v>17</v>
      </c>
    </row>
    <row r="18" spans="1:4" x14ac:dyDescent="0.3">
      <c r="A18">
        <f>SUM(A2:A13)</f>
        <v>146</v>
      </c>
      <c r="B18">
        <f>SUM(B2:B13)</f>
        <v>949</v>
      </c>
      <c r="C18">
        <f>SUM(C2:C13)</f>
        <v>12609</v>
      </c>
      <c r="D18">
        <f t="array" ref="D18">SUM(D2:D13)</f>
        <v>2420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2CF2-46F4-4654-BC38-8BC046E97F75}">
  <dimension ref="A1"/>
  <sheetViews>
    <sheetView workbookViewId="0">
      <selection activeCell="B39" sqref="B39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B4FAB-A30B-4A53-8E51-11B1CCCA4DF0}">
  <dimension ref="A1:G9"/>
  <sheetViews>
    <sheetView workbookViewId="0">
      <selection activeCell="E16" sqref="E16"/>
    </sheetView>
  </sheetViews>
  <sheetFormatPr defaultRowHeight="14.4" x14ac:dyDescent="0.3"/>
  <sheetData>
    <row r="1" spans="1:7" x14ac:dyDescent="0.3">
      <c r="A1" t="s">
        <v>13</v>
      </c>
    </row>
    <row r="3" spans="1:7" x14ac:dyDescent="0.3">
      <c r="A3" s="8" t="s">
        <v>5</v>
      </c>
      <c r="B3" s="5" t="s">
        <v>4</v>
      </c>
      <c r="C3" s="6"/>
      <c r="D3" s="6"/>
      <c r="E3" s="6"/>
      <c r="F3" s="6"/>
      <c r="G3" s="7"/>
    </row>
    <row r="4" spans="1:7" x14ac:dyDescent="0.3">
      <c r="A4" s="9"/>
      <c r="B4" s="3">
        <v>10</v>
      </c>
      <c r="C4" s="3">
        <v>12</v>
      </c>
      <c r="D4" s="3">
        <v>13</v>
      </c>
      <c r="E4" s="3">
        <v>14</v>
      </c>
      <c r="F4" s="3">
        <v>15</v>
      </c>
      <c r="G4" s="3">
        <v>16</v>
      </c>
    </row>
    <row r="5" spans="1:7" x14ac:dyDescent="0.3">
      <c r="A5" s="3">
        <v>5</v>
      </c>
      <c r="B5" s="3">
        <v>2</v>
      </c>
      <c r="C5" s="3">
        <v>3</v>
      </c>
      <c r="D5" s="3"/>
      <c r="E5" s="3"/>
      <c r="F5" s="3"/>
      <c r="G5" s="3"/>
    </row>
    <row r="6" spans="1:7" x14ac:dyDescent="0.3">
      <c r="A6" s="3">
        <v>10</v>
      </c>
      <c r="B6" s="3"/>
      <c r="C6" s="3">
        <v>7</v>
      </c>
      <c r="D6" s="3">
        <v>4</v>
      </c>
      <c r="E6" s="3"/>
      <c r="F6" s="3"/>
      <c r="G6" s="3"/>
    </row>
    <row r="7" spans="1:7" x14ac:dyDescent="0.3">
      <c r="A7" s="3">
        <v>15</v>
      </c>
      <c r="B7" s="3"/>
      <c r="C7" s="3"/>
      <c r="D7" s="3">
        <v>2</v>
      </c>
      <c r="E7" s="3">
        <v>5</v>
      </c>
      <c r="F7" s="3">
        <v>2</v>
      </c>
      <c r="G7" s="3"/>
    </row>
    <row r="8" spans="1:7" x14ac:dyDescent="0.3">
      <c r="A8" s="3">
        <v>20</v>
      </c>
      <c r="B8" s="3"/>
      <c r="C8" s="3"/>
      <c r="D8" s="3">
        <v>1</v>
      </c>
      <c r="E8" s="3">
        <v>10</v>
      </c>
      <c r="F8" s="3">
        <v>1</v>
      </c>
      <c r="G8" s="3"/>
    </row>
    <row r="9" spans="1:7" x14ac:dyDescent="0.3">
      <c r="A9" s="3">
        <v>25</v>
      </c>
      <c r="B9" s="3"/>
      <c r="C9" s="3"/>
      <c r="D9" s="3"/>
      <c r="E9" s="3">
        <v>4</v>
      </c>
      <c r="F9" s="3">
        <v>7</v>
      </c>
      <c r="G9" s="3">
        <v>3</v>
      </c>
    </row>
  </sheetData>
  <mergeCells count="2">
    <mergeCell ref="B3:G3"/>
    <mergeCell ref="A3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9C15A-668F-48FF-87F7-11CDADBE1A31}">
  <dimension ref="A1:G7"/>
  <sheetViews>
    <sheetView workbookViewId="0">
      <selection activeCell="G21" sqref="G21"/>
    </sheetView>
  </sheetViews>
  <sheetFormatPr defaultRowHeight="14.4" x14ac:dyDescent="0.3"/>
  <sheetData>
    <row r="1" spans="1:7" x14ac:dyDescent="0.3">
      <c r="A1" s="8" t="s">
        <v>5</v>
      </c>
      <c r="B1" s="5" t="s">
        <v>4</v>
      </c>
      <c r="C1" s="6"/>
      <c r="D1" s="6"/>
      <c r="E1" s="6"/>
      <c r="F1" s="6"/>
      <c r="G1" s="7"/>
    </row>
    <row r="2" spans="1:7" x14ac:dyDescent="0.3">
      <c r="A2" s="9"/>
      <c r="B2" s="3">
        <v>10</v>
      </c>
      <c r="C2" s="3">
        <v>12</v>
      </c>
      <c r="D2" s="3">
        <v>13</v>
      </c>
      <c r="E2" s="3">
        <v>14</v>
      </c>
      <c r="F2" s="3">
        <v>15</v>
      </c>
      <c r="G2" s="3">
        <v>16</v>
      </c>
    </row>
    <row r="3" spans="1:7" x14ac:dyDescent="0.3">
      <c r="A3" s="3">
        <v>5</v>
      </c>
      <c r="B3" s="3">
        <v>2</v>
      </c>
      <c r="C3" s="3">
        <v>3</v>
      </c>
      <c r="D3" s="3"/>
      <c r="E3" s="3"/>
      <c r="F3" s="3"/>
      <c r="G3" s="3"/>
    </row>
    <row r="4" spans="1:7" x14ac:dyDescent="0.3">
      <c r="A4" s="3">
        <v>10</v>
      </c>
      <c r="B4" s="3"/>
      <c r="C4" s="3">
        <v>7</v>
      </c>
      <c r="D4" s="3">
        <v>4</v>
      </c>
      <c r="E4" s="3"/>
      <c r="F4" s="3"/>
      <c r="G4" s="3"/>
    </row>
    <row r="5" spans="1:7" x14ac:dyDescent="0.3">
      <c r="A5" s="3">
        <v>15</v>
      </c>
      <c r="B5" s="3"/>
      <c r="C5" s="3"/>
      <c r="D5" s="3">
        <v>2</v>
      </c>
      <c r="E5" s="3">
        <v>5</v>
      </c>
      <c r="F5" s="3">
        <v>2</v>
      </c>
      <c r="G5" s="3"/>
    </row>
    <row r="6" spans="1:7" x14ac:dyDescent="0.3">
      <c r="A6" s="3">
        <v>20</v>
      </c>
      <c r="B6" s="3"/>
      <c r="C6" s="3"/>
      <c r="D6" s="3">
        <v>1</v>
      </c>
      <c r="E6" s="3">
        <v>10</v>
      </c>
      <c r="F6" s="3">
        <v>1</v>
      </c>
      <c r="G6" s="3"/>
    </row>
    <row r="7" spans="1:7" x14ac:dyDescent="0.3">
      <c r="A7" s="3">
        <v>25</v>
      </c>
      <c r="B7" s="3"/>
      <c r="C7" s="3"/>
      <c r="D7" s="3"/>
      <c r="E7" s="3">
        <v>4</v>
      </c>
      <c r="F7" s="3">
        <v>7</v>
      </c>
      <c r="G7" s="3">
        <v>3</v>
      </c>
    </row>
  </sheetData>
  <mergeCells count="2">
    <mergeCell ref="A1:A2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Колективна 1 - постановк</vt:lpstr>
      <vt:lpstr>колективна 1 - розв'язання</vt:lpstr>
      <vt:lpstr>Аркуш4</vt:lpstr>
      <vt:lpstr>Аркуш2</vt:lpstr>
      <vt:lpstr>Аркуш3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 Горецький</dc:creator>
  <cp:lastModifiedBy>Макс Горецький</cp:lastModifiedBy>
  <dcterms:created xsi:type="dcterms:W3CDTF">2015-06-05T18:17:20Z</dcterms:created>
  <dcterms:modified xsi:type="dcterms:W3CDTF">2025-04-10T13:55:50Z</dcterms:modified>
</cp:coreProperties>
</file>