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Макс\Desktop\"/>
    </mc:Choice>
  </mc:AlternateContent>
  <xr:revisionPtr revIDLastSave="0" documentId="13_ncr:1_{0E756686-3DF3-45BB-A406-DA808A63E625}" xr6:coauthVersionLast="47" xr6:coauthVersionMax="47" xr10:uidLastSave="{00000000-0000-0000-0000-000000000000}"/>
  <bookViews>
    <workbookView xWindow="-108" yWindow="-108" windowWidth="23256" windowHeight="13896" activeTab="7" xr2:uid="{00000000-000D-0000-FFFF-FFFF00000000}"/>
  </bookViews>
  <sheets>
    <sheet name="Кол-умова1" sheetId="1" r:id="rId1"/>
    <sheet name="Кол-розв1" sheetId="2" r:id="rId2"/>
    <sheet name="Кол-умова2" sheetId="3" r:id="rId3"/>
    <sheet name="Кол-розв2" sheetId="5" r:id="rId4"/>
    <sheet name="Інд-теорія1" sheetId="8" r:id="rId5"/>
    <sheet name="Інд-розв1" sheetId="6" r:id="rId6"/>
    <sheet name="Інд-умова2" sheetId="9" r:id="rId7"/>
    <sheet name="Інд-розв2" sheetId="10" r:id="rId8"/>
  </sheets>
  <externalReferences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0" l="1"/>
  <c r="G11" i="10"/>
  <c r="G12" i="10" s="1"/>
  <c r="F11" i="10"/>
  <c r="F12" i="10" s="1"/>
  <c r="E11" i="10"/>
  <c r="E12" i="10" s="1"/>
  <c r="D11" i="10"/>
  <c r="D12" i="10" s="1"/>
  <c r="C11" i="10"/>
  <c r="C12" i="10" s="1"/>
  <c r="B11" i="10"/>
  <c r="B2" i="10" s="1"/>
  <c r="G3" i="10"/>
  <c r="F3" i="10"/>
  <c r="E3" i="10"/>
  <c r="D3" i="10"/>
  <c r="C3" i="10"/>
  <c r="B3" i="10"/>
  <c r="G2" i="10"/>
  <c r="B15" i="6"/>
  <c r="L7" i="6" s="1"/>
  <c r="A15" i="6"/>
  <c r="I13" i="6"/>
  <c r="D13" i="6"/>
  <c r="C13" i="6"/>
  <c r="I12" i="6"/>
  <c r="D12" i="6"/>
  <c r="C12" i="6"/>
  <c r="I11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D2" i="6"/>
  <c r="C2" i="6"/>
  <c r="L2" i="2"/>
  <c r="L3" i="2"/>
  <c r="G4" i="2"/>
  <c r="K9" i="2" s="1"/>
  <c r="K4" i="2"/>
  <c r="M4" i="2" s="1"/>
  <c r="L4" i="2"/>
  <c r="L15" i="2" s="1"/>
  <c r="G5" i="2"/>
  <c r="K2" i="2" s="1"/>
  <c r="L5" i="2"/>
  <c r="L6" i="2"/>
  <c r="L7" i="2"/>
  <c r="L8" i="2"/>
  <c r="L9" i="2"/>
  <c r="L10" i="2"/>
  <c r="I11" i="2"/>
  <c r="L11" i="2"/>
  <c r="I12" i="2"/>
  <c r="K12" i="2"/>
  <c r="M12" i="2" s="1"/>
  <c r="L12" i="2"/>
  <c r="I13" i="2"/>
  <c r="L13" i="2"/>
  <c r="G11" i="5"/>
  <c r="G12" i="5" s="1"/>
  <c r="F11" i="5"/>
  <c r="F12" i="5" s="1"/>
  <c r="E11" i="5"/>
  <c r="E12" i="5" s="1"/>
  <c r="D11" i="5"/>
  <c r="D12" i="5" s="1"/>
  <c r="C11" i="5"/>
  <c r="C12" i="5" s="1"/>
  <c r="B11" i="5"/>
  <c r="B2" i="5" s="1"/>
  <c r="G3" i="5"/>
  <c r="F3" i="5"/>
  <c r="E3" i="5"/>
  <c r="D3" i="5"/>
  <c r="C3" i="5"/>
  <c r="B3" i="5"/>
  <c r="G2" i="5"/>
  <c r="B15" i="2"/>
  <c r="A15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D15" i="2" s="1"/>
  <c r="C2" i="2"/>
  <c r="C15" i="2" s="1"/>
  <c r="D2" i="10" l="1"/>
  <c r="C2" i="10"/>
  <c r="E2" i="10"/>
  <c r="F2" i="10"/>
  <c r="L11" i="6"/>
  <c r="L2" i="6"/>
  <c r="L8" i="6"/>
  <c r="L12" i="6"/>
  <c r="L4" i="6"/>
  <c r="L5" i="6"/>
  <c r="L10" i="6"/>
  <c r="L13" i="6"/>
  <c r="L9" i="6"/>
  <c r="L6" i="6"/>
  <c r="L3" i="6"/>
  <c r="C15" i="6"/>
  <c r="D15" i="6"/>
  <c r="M9" i="2"/>
  <c r="N9" i="2"/>
  <c r="M2" i="2"/>
  <c r="N2" i="2"/>
  <c r="K8" i="2"/>
  <c r="K5" i="2"/>
  <c r="K3" i="2"/>
  <c r="K6" i="2"/>
  <c r="K11" i="2"/>
  <c r="K13" i="2"/>
  <c r="N12" i="2"/>
  <c r="N4" i="2"/>
  <c r="K10" i="2"/>
  <c r="K7" i="2"/>
  <c r="E2" i="5"/>
  <c r="C2" i="5"/>
  <c r="B12" i="5"/>
  <c r="D2" i="5"/>
  <c r="F2" i="5"/>
  <c r="L15" i="6" l="1"/>
  <c r="G5" i="6"/>
  <c r="M11" i="2"/>
  <c r="N11" i="2"/>
  <c r="M6" i="2"/>
  <c r="N6" i="2"/>
  <c r="M3" i="2"/>
  <c r="M15" i="2" s="1"/>
  <c r="N3" i="2"/>
  <c r="N5" i="2"/>
  <c r="M5" i="2"/>
  <c r="N8" i="2"/>
  <c r="M8" i="2"/>
  <c r="N15" i="2"/>
  <c r="M10" i="2"/>
  <c r="N10" i="2"/>
  <c r="N13" i="2"/>
  <c r="M13" i="2"/>
  <c r="M7" i="2"/>
  <c r="N7" i="2"/>
  <c r="G4" i="6" l="1"/>
  <c r="K2" i="6" s="1"/>
  <c r="K15" i="2"/>
  <c r="J4" i="2"/>
  <c r="J5" i="2"/>
  <c r="N2" i="6" l="1"/>
  <c r="M2" i="6"/>
  <c r="K12" i="6"/>
  <c r="K13" i="6"/>
  <c r="K11" i="6"/>
  <c r="K4" i="6"/>
  <c r="K3" i="6"/>
  <c r="K6" i="6"/>
  <c r="K7" i="6"/>
  <c r="K9" i="6"/>
  <c r="K8" i="6"/>
  <c r="K10" i="6"/>
  <c r="K5" i="6"/>
  <c r="N8" i="6" l="1"/>
  <c r="M8" i="6"/>
  <c r="N6" i="6"/>
  <c r="M6" i="6"/>
  <c r="N4" i="6"/>
  <c r="M4" i="6"/>
  <c r="M13" i="6"/>
  <c r="N13" i="6"/>
  <c r="N10" i="6"/>
  <c r="M10" i="6"/>
  <c r="M9" i="6"/>
  <c r="N9" i="6"/>
  <c r="M7" i="6"/>
  <c r="N7" i="6"/>
  <c r="M3" i="6"/>
  <c r="N3" i="6"/>
  <c r="N11" i="6"/>
  <c r="M11" i="6"/>
  <c r="N12" i="6"/>
  <c r="M12" i="6"/>
  <c r="M5" i="6"/>
  <c r="N5" i="6"/>
  <c r="M15" i="6" l="1"/>
  <c r="J5" i="6" s="1"/>
  <c r="N15" i="6"/>
  <c r="K15" i="6" l="1"/>
  <c r="J4" i="6"/>
</calcChain>
</file>

<file path=xl/sharedStrings.xml><?xml version="1.0" encoding="utf-8"?>
<sst xmlns="http://schemas.openxmlformats.org/spreadsheetml/2006/main" count="93" uniqueCount="53">
  <si>
    <t>Колективне Завдання 1</t>
  </si>
  <si>
    <t>Постановка задачі:</t>
  </si>
  <si>
    <t>Для виявлення зв’язку між ознаками y та x проведено серію експериментів і отримано такі результати:
X: 5 4 3 7 13 11 23 28 18 9 12 13
Y: 64 71 54 71 93 76 87 109 83 75 79 87
Потрібно побудувати рівняння лінійної регресії та перевірити його адекватність і статистичну значущість.</t>
  </si>
  <si>
    <t>X</t>
  </si>
  <si>
    <t>Y</t>
  </si>
  <si>
    <t>Висновок:</t>
  </si>
  <si>
    <t>Колективне Завдання 2</t>
  </si>
  <si>
    <t>Визначити вид залежності ознаки Y від X за даними кореляційної таблиці.
Побудувати кореляційне поле і лінію регресії.
Оцінити статистичну значущість та адекватність моделі.
Таблиця частот:
Y\X:     10   12   13   14   15   16
5        2    3
10           7    4
15           2    5    2
20           1   10    1
25           4    7    3</t>
  </si>
  <si>
    <t>Рівняння регресії:</t>
  </si>
  <si>
    <t>X * Y</t>
  </si>
  <si>
    <t>X^2</t>
  </si>
  <si>
    <r>
      <t>Y</t>
    </r>
    <r>
      <rPr>
        <sz val="9"/>
        <color theme="1"/>
        <rFont val="Calibri"/>
        <family val="2"/>
        <charset val="204"/>
        <scheme val="minor"/>
      </rPr>
      <t>теор.</t>
    </r>
  </si>
  <si>
    <r>
      <t>(y</t>
    </r>
    <r>
      <rPr>
        <sz val="9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1"/>
        <rFont val="Calibri"/>
        <family val="2"/>
        <charset val="204"/>
      </rPr>
      <t>y)^2</t>
    </r>
  </si>
  <si>
    <r>
      <t>(y</t>
    </r>
    <r>
      <rPr>
        <sz val="9"/>
        <color theme="1"/>
        <rFont val="Calibri"/>
        <family val="2"/>
        <charset val="204"/>
        <scheme val="minor"/>
      </rPr>
      <t>i,теор.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charset val="204"/>
      </rPr>
      <t>y</t>
    </r>
    <r>
      <rPr>
        <sz val="11"/>
        <color theme="1"/>
        <rFont val="Calibri"/>
        <family val="2"/>
        <scheme val="minor"/>
      </rPr>
      <t>)^2</t>
    </r>
  </si>
  <si>
    <r>
      <t>(y</t>
    </r>
    <r>
      <rPr>
        <sz val="9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 xml:space="preserve">, </t>
    </r>
    <r>
      <rPr>
        <sz val="9"/>
        <color theme="1"/>
        <rFont val="Calibri"/>
        <family val="2"/>
        <charset val="204"/>
        <scheme val="minor"/>
      </rPr>
      <t>теор</t>
    </r>
    <r>
      <rPr>
        <sz val="11"/>
        <color theme="1"/>
        <rFont val="Calibri"/>
        <family val="2"/>
        <scheme val="minor"/>
      </rPr>
      <t>. - y</t>
    </r>
    <r>
      <rPr>
        <sz val="9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>)^2</t>
    </r>
  </si>
  <si>
    <t>Коеф-ти регресії</t>
  </si>
  <si>
    <t>n=</t>
  </si>
  <si>
    <t>l=</t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</si>
  <si>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</si>
  <si>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t>F=</t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</si>
  <si>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 xml:space="preserve"> =</t>
    </r>
  </si>
  <si>
    <t>R^2=</t>
  </si>
  <si>
    <t>y = 1,65x + 58,99</t>
  </si>
  <si>
    <t>Значущість:</t>
  </si>
  <si>
    <r>
      <t>α</t>
    </r>
    <r>
      <rPr>
        <sz val="8"/>
        <color theme="1"/>
        <rFont val="Calibri"/>
        <family val="2"/>
        <charset val="204"/>
      </rPr>
      <t>1</t>
    </r>
    <r>
      <rPr>
        <sz val="11"/>
        <color theme="1"/>
        <rFont val="Calibri"/>
        <family val="2"/>
        <charset val="204"/>
      </rPr>
      <t>=</t>
    </r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</si>
  <si>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крит1</t>
    </r>
    <r>
      <rPr>
        <sz val="11"/>
        <color theme="1"/>
        <rFont val="Calibri"/>
        <family val="2"/>
        <scheme val="minor"/>
      </rPr>
      <t>=</t>
    </r>
  </si>
  <si>
    <r>
      <t>α</t>
    </r>
    <r>
      <rPr>
        <sz val="8"/>
        <color theme="1"/>
        <rFont val="Calibri"/>
        <family val="2"/>
        <charset val="204"/>
      </rPr>
      <t>2</t>
    </r>
    <r>
      <rPr>
        <sz val="11"/>
        <color theme="1"/>
        <rFont val="Calibri"/>
        <family val="2"/>
        <charset val="204"/>
      </rPr>
      <t>=</t>
    </r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</si>
  <si>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крит2</t>
    </r>
    <r>
      <rPr>
        <sz val="11"/>
        <color theme="1"/>
        <rFont val="Calibri"/>
        <family val="2"/>
        <scheme val="minor"/>
      </rPr>
      <t>=</t>
    </r>
  </si>
  <si>
    <r>
      <t>α</t>
    </r>
    <r>
      <rPr>
        <sz val="8"/>
        <color theme="1"/>
        <rFont val="Calibri"/>
        <family val="2"/>
        <charset val="204"/>
      </rPr>
      <t>3</t>
    </r>
    <r>
      <rPr>
        <sz val="11"/>
        <color theme="1"/>
        <rFont val="Calibri"/>
        <family val="2"/>
        <charset val="204"/>
      </rPr>
      <t>=</t>
    </r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</si>
  <si>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крит3</t>
    </r>
    <r>
      <rPr>
        <sz val="11"/>
        <color theme="1"/>
        <rFont val="Calibri"/>
        <family val="2"/>
        <scheme val="minor"/>
      </rPr>
      <t>=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</si>
  <si>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C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</si>
  <si>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C</t>
    </r>
  </si>
  <si>
    <r>
      <t>(X*Y)</t>
    </r>
    <r>
      <rPr>
        <sz val="9"/>
        <color theme="1"/>
        <rFont val="Calibri"/>
        <family val="2"/>
        <charset val="204"/>
        <scheme val="minor"/>
      </rPr>
      <t>c</t>
    </r>
  </si>
  <si>
    <r>
      <t>X^2</t>
    </r>
    <r>
      <rPr>
        <sz val="9"/>
        <color theme="1"/>
        <rFont val="Calibri"/>
        <family val="2"/>
        <charset val="204"/>
        <scheme val="minor"/>
      </rPr>
      <t>c</t>
    </r>
  </si>
  <si>
    <t>Qp + Qo</t>
  </si>
  <si>
    <t>Q</t>
  </si>
  <si>
    <r>
      <t>Q</t>
    </r>
    <r>
      <rPr>
        <sz val="9"/>
        <color theme="1"/>
        <rFont val="Calibri"/>
        <family val="2"/>
        <charset val="204"/>
        <scheme val="minor"/>
      </rPr>
      <t>p</t>
    </r>
  </si>
  <si>
    <r>
      <t>Q</t>
    </r>
    <r>
      <rPr>
        <sz val="9"/>
        <color theme="1"/>
        <rFont val="Calibri"/>
        <family val="2"/>
        <charset val="204"/>
        <scheme val="minor"/>
      </rPr>
      <t>o</t>
    </r>
  </si>
  <si>
    <t>Отже, обчисливши коефіцієнти регресії b1 та b0 одержали рівняння регресії y = 1,65x + 58,99.  Q = 2242,92, Qp = 1754,97, Qo = 487,95, підставивши значення в рівняння, можемо переконатися, що 2242,92 = 1754,97 + 487,95 - тотожність. Тому рівняння регресії побудоване правильно. Значення Fстатистики є більшим за Fкрит1, Fкрит2, Fкрит3 а тому регресійна модель ститично значуща. Коефіцієнт детермінації показує, що варіацію результативної ознаки Y можна пояснити рівнянням регресії на 78%.</t>
  </si>
  <si>
    <r>
      <t>X</t>
    </r>
    <r>
      <rPr>
        <sz val="9"/>
        <color theme="1"/>
        <rFont val="Calibri"/>
        <family val="2"/>
        <charset val="204"/>
        <scheme val="minor"/>
      </rPr>
      <t>i</t>
    </r>
  </si>
  <si>
    <r>
      <t>y</t>
    </r>
    <r>
      <rPr>
        <sz val="9"/>
        <color theme="1"/>
        <rFont val="Calibri"/>
        <family val="2"/>
        <charset val="204"/>
      </rPr>
      <t>i</t>
    </r>
  </si>
  <si>
    <r>
      <t>n</t>
    </r>
    <r>
      <rPr>
        <sz val="9"/>
        <color theme="1"/>
        <rFont val="Calibri"/>
        <family val="2"/>
        <charset val="204"/>
        <scheme val="minor"/>
      </rPr>
      <t>i</t>
    </r>
  </si>
  <si>
    <t>∑ni</t>
  </si>
  <si>
    <t>yi</t>
  </si>
  <si>
    <t>Точки діаграми відповідають значенням вибірки і результатам розрахунків. Емпірична лінія регресії наближається до прямої лінії, то можемо висунути гіпотезу про лінійну залежність Y від Х, тобто рівняння регресії</t>
  </si>
  <si>
    <t>Індивідуальне Завдання 1 (варіант 5)</t>
  </si>
  <si>
    <t>Побудувати рівняння лінійної регресії на основі вибіркових даних:</t>
  </si>
  <si>
    <t>X: 2.5, 2.9, 3.4, 3.8, 4.1, 4.4, 5.0, 3.8, 2.9, 4.1, 5.0, 3.8</t>
  </si>
  <si>
    <t>Y: 1.5, 2.0, 2.5, 3.0, 3.5, 4.0, 4.5, 3.2, 2.4, 3.4, 4.4, 2.9</t>
  </si>
  <si>
    <t>Отже, обчисливши коефіцієнти регресії b1 та b0 одержали рівняння регресії y=-2.17+1.38x.  Q = 9,3891, Qp = 9,1261, Qo = 0,2623, підставивши значення в рівняння, можемо переконатися, що 9,3891 = 9,1261 + 0,263 - тотожність. Тому рівняння регресії побудоване правильно. Значення Fстатистики є більшим за Fкрит1, Fкрит2, Fкрит3 а тому регресійна модель ститично значуща. Коефіцієнт детермінації показує, що варіацію результативної ознаки Y можна пояснити рівнянням регресії на 97%.</t>
  </si>
  <si>
    <t>Індивідуальне Завдання 2 (варіант 5)</t>
  </si>
  <si>
    <t>Використовуючи дані кореляційної таблиці, побудувати кореляційне поле та рівняння регресії:</t>
  </si>
  <si>
    <t>Y\X:     10   20   30   40   50   60
5        4    2
10       6    3
15       5    2    5
20       2    8    6
25       5    4  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</si>
</sst>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sz val="11"/>
      <color theme="1"/>
      <name val="Calibri"/>
      <family val="2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color theme="1"/>
      <name val="Calibri"/>
      <family val="2"/>
      <charset val="204"/>
    </font>
    <font>
      <sz val="9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5" fillId="0" borderId="1" xfId="0" applyFont="1" applyBorder="1" applyAlignment="1"/>
    <xf numFmtId="0" fontId="0" fillId="0" borderId="1" xfId="0" applyBorder="1" applyAlignment="1"/>
    <xf numFmtId="0" fontId="0" fillId="0" borderId="0" xfId="0" applyAlignment="1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'Кол-розв1'!$A$2:$A$13</c:f>
              <c:numCache>
                <c:formatCode>General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13</c:v>
                </c:pt>
                <c:pt idx="5">
                  <c:v>11</c:v>
                </c:pt>
                <c:pt idx="6">
                  <c:v>23</c:v>
                </c:pt>
                <c:pt idx="7">
                  <c:v>28</c:v>
                </c:pt>
                <c:pt idx="8">
                  <c:v>18</c:v>
                </c:pt>
                <c:pt idx="9">
                  <c:v>9</c:v>
                </c:pt>
                <c:pt idx="10">
                  <c:v>12</c:v>
                </c:pt>
                <c:pt idx="11">
                  <c:v>13</c:v>
                </c:pt>
              </c:numCache>
            </c:numRef>
          </c:xVal>
          <c:yVal>
            <c:numRef>
              <c:f>'Кол-розв1'!$B$2:$B$13</c:f>
              <c:numCache>
                <c:formatCode>General</c:formatCode>
                <c:ptCount val="12"/>
                <c:pt idx="0">
                  <c:v>64</c:v>
                </c:pt>
                <c:pt idx="1">
                  <c:v>71</c:v>
                </c:pt>
                <c:pt idx="2">
                  <c:v>54</c:v>
                </c:pt>
                <c:pt idx="3">
                  <c:v>71</c:v>
                </c:pt>
                <c:pt idx="4">
                  <c:v>93</c:v>
                </c:pt>
                <c:pt idx="5">
                  <c:v>76</c:v>
                </c:pt>
                <c:pt idx="6">
                  <c:v>87</c:v>
                </c:pt>
                <c:pt idx="7">
                  <c:v>109</c:v>
                </c:pt>
                <c:pt idx="8">
                  <c:v>83</c:v>
                </c:pt>
                <c:pt idx="9">
                  <c:v>75</c:v>
                </c:pt>
                <c:pt idx="10">
                  <c:v>79</c:v>
                </c:pt>
                <c:pt idx="11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23-4BFD-A4D5-E4E9B39D5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308991"/>
        <c:axId val="2136292767"/>
      </c:scatterChart>
      <c:valAx>
        <c:axId val="213630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36292767"/>
        <c:crosses val="autoZero"/>
        <c:crossBetween val="midCat"/>
      </c:valAx>
      <c:valAx>
        <c:axId val="213629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3630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'Інд-розв1'!$A$2:$A$13</c:f>
              <c:numCache>
                <c:formatCode>General</c:formatCode>
                <c:ptCount val="12"/>
                <c:pt idx="0">
                  <c:v>2.5</c:v>
                </c:pt>
                <c:pt idx="1">
                  <c:v>2.9</c:v>
                </c:pt>
                <c:pt idx="2">
                  <c:v>3.4</c:v>
                </c:pt>
                <c:pt idx="3">
                  <c:v>3.8</c:v>
                </c:pt>
                <c:pt idx="4">
                  <c:v>4.0999999999999996</c:v>
                </c:pt>
                <c:pt idx="5">
                  <c:v>4.4000000000000004</c:v>
                </c:pt>
                <c:pt idx="6">
                  <c:v>5</c:v>
                </c:pt>
                <c:pt idx="7">
                  <c:v>3.8</c:v>
                </c:pt>
                <c:pt idx="8">
                  <c:v>2.9</c:v>
                </c:pt>
                <c:pt idx="9">
                  <c:v>4.0999999999999996</c:v>
                </c:pt>
                <c:pt idx="10">
                  <c:v>5</c:v>
                </c:pt>
                <c:pt idx="11">
                  <c:v>3.8</c:v>
                </c:pt>
              </c:numCache>
            </c:numRef>
          </c:xVal>
          <c:yVal>
            <c:numRef>
              <c:f>'Інд-розв1'!$B$2:$B$13</c:f>
              <c:numCache>
                <c:formatCode>General</c:formatCode>
                <c:ptCount val="12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3.2</c:v>
                </c:pt>
                <c:pt idx="8">
                  <c:v>2.4</c:v>
                </c:pt>
                <c:pt idx="9">
                  <c:v>3.4</c:v>
                </c:pt>
                <c:pt idx="10">
                  <c:v>4.4000000000000004</c:v>
                </c:pt>
                <c:pt idx="11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FE-4C0F-9F61-B2294F334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298591"/>
        <c:axId val="2136288607"/>
      </c:scatterChart>
      <c:valAx>
        <c:axId val="213629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36288607"/>
        <c:crosses val="autoZero"/>
        <c:crossBetween val="midCat"/>
      </c:valAx>
      <c:valAx>
        <c:axId val="213628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3629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66989</xdr:colOff>
      <xdr:row>1</xdr:row>
      <xdr:rowOff>159098</xdr:rowOff>
    </xdr:from>
    <xdr:to>
      <xdr:col>22</xdr:col>
      <xdr:colOff>142352</xdr:colOff>
      <xdr:row>17</xdr:row>
      <xdr:rowOff>108857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77802B44-8DC5-4829-AA71-6AD12F6E0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3</xdr:row>
      <xdr:rowOff>91440</xdr:rowOff>
    </xdr:from>
    <xdr:to>
      <xdr:col>21</xdr:col>
      <xdr:colOff>373380</xdr:colOff>
      <xdr:row>16</xdr:row>
      <xdr:rowOff>76200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D728DB6C-C51A-4A5C-941E-64212D1F3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/Downloads/Telegram%20Desktop/3-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72;&#1082;&#1089;/Downloads/Galaktyk_&#1030;&#1085;&#1076;&#1080;&#1074;&#1110;&#1076;&#1091;&#1072;&#1083;&#1100;&#1085;&#1110;_&#1047;&#1072;&#1074;&#1076;&#1072;&#1085;&#1085;&#1103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а сторінка"/>
      <sheetName val="1"/>
      <sheetName val="Виконання"/>
      <sheetName val="2"/>
      <sheetName val="Виконання."/>
      <sheetName val="Діаграма"/>
      <sheetName val="Заг. висновок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B1">
            <v>10</v>
          </cell>
          <cell r="C1">
            <v>12</v>
          </cell>
          <cell r="D1">
            <v>13</v>
          </cell>
          <cell r="E1">
            <v>14</v>
          </cell>
          <cell r="F1">
            <v>15</v>
          </cell>
          <cell r="G1">
            <v>16</v>
          </cell>
        </row>
        <row r="2">
          <cell r="B2">
            <v>5</v>
          </cell>
          <cell r="C2">
            <v>8.5</v>
          </cell>
          <cell r="D2">
            <v>12.857142857142858</v>
          </cell>
          <cell r="E2">
            <v>19.736842105263158</v>
          </cell>
          <cell r="F2">
            <v>22.5</v>
          </cell>
          <cell r="G2">
            <v>25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лективне Завдання 1"/>
      <sheetName val="Розрахунки інд. 1"/>
      <sheetName val="Колективне завдання 2"/>
      <sheetName val="Розрахунки колективне 2"/>
      <sheetName val="Діаграма інд. 1"/>
    </sheetNames>
    <sheetDataSet>
      <sheetData sheetId="0" refreshError="1"/>
      <sheetData sheetId="1">
        <row r="2">
          <cell r="A2">
            <v>2.5</v>
          </cell>
          <cell r="B2">
            <v>1.5</v>
          </cell>
        </row>
        <row r="3">
          <cell r="A3">
            <v>2.9</v>
          </cell>
          <cell r="B3">
            <v>2</v>
          </cell>
        </row>
        <row r="4">
          <cell r="A4">
            <v>3.4</v>
          </cell>
          <cell r="B4">
            <v>2.5</v>
          </cell>
        </row>
        <row r="5">
          <cell r="A5">
            <v>3.8</v>
          </cell>
          <cell r="B5">
            <v>3</v>
          </cell>
        </row>
        <row r="6">
          <cell r="A6">
            <v>4.0999999999999996</v>
          </cell>
          <cell r="B6">
            <v>3.5</v>
          </cell>
        </row>
        <row r="7">
          <cell r="A7">
            <v>4.4000000000000004</v>
          </cell>
          <cell r="B7">
            <v>4</v>
          </cell>
        </row>
        <row r="8">
          <cell r="A8">
            <v>5</v>
          </cell>
          <cell r="B8">
            <v>4.5</v>
          </cell>
        </row>
        <row r="9">
          <cell r="A9">
            <v>3.8</v>
          </cell>
          <cell r="B9">
            <v>3.2</v>
          </cell>
        </row>
        <row r="10">
          <cell r="A10">
            <v>2.9</v>
          </cell>
          <cell r="B10">
            <v>2.4</v>
          </cell>
        </row>
        <row r="11">
          <cell r="A11">
            <v>4.0999999999999996</v>
          </cell>
          <cell r="B11">
            <v>3.4</v>
          </cell>
        </row>
        <row r="12">
          <cell r="A12">
            <v>5</v>
          </cell>
          <cell r="B12">
            <v>4.4000000000000004</v>
          </cell>
        </row>
        <row r="13">
          <cell r="A13">
            <v>3.8</v>
          </cell>
          <cell r="B13">
            <v>2.9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F32" sqref="F32"/>
    </sheetView>
  </sheetViews>
  <sheetFormatPr defaultRowHeight="14.4" x14ac:dyDescent="0.3"/>
  <sheetData>
    <row r="1" spans="1:8" ht="18" x14ac:dyDescent="0.35">
      <c r="A1" s="20" t="s">
        <v>0</v>
      </c>
      <c r="B1" s="21"/>
      <c r="C1" s="21"/>
      <c r="D1" s="21"/>
      <c r="E1" s="21"/>
      <c r="F1" s="21"/>
      <c r="G1" s="21"/>
      <c r="H1" s="21"/>
    </row>
    <row r="2" spans="1:8" x14ac:dyDescent="0.3">
      <c r="A2" s="21" t="s">
        <v>1</v>
      </c>
      <c r="B2" s="21"/>
      <c r="C2" s="21"/>
      <c r="D2" s="21"/>
      <c r="E2" s="21"/>
      <c r="F2" s="21"/>
      <c r="G2" s="21"/>
      <c r="H2" s="21"/>
    </row>
    <row r="3" spans="1:8" x14ac:dyDescent="0.3">
      <c r="A3" s="22" t="s">
        <v>2</v>
      </c>
      <c r="B3" s="21"/>
      <c r="C3" s="21"/>
      <c r="D3" s="21"/>
      <c r="E3" s="21"/>
      <c r="F3" s="21"/>
      <c r="G3" s="21"/>
      <c r="H3" s="21"/>
    </row>
    <row r="4" spans="1:8" x14ac:dyDescent="0.3">
      <c r="A4" s="21"/>
      <c r="B4" s="21"/>
      <c r="C4" s="21"/>
      <c r="D4" s="21"/>
      <c r="E4" s="21"/>
      <c r="F4" s="21"/>
      <c r="G4" s="21"/>
      <c r="H4" s="21"/>
    </row>
    <row r="5" spans="1:8" x14ac:dyDescent="0.3">
      <c r="A5" s="21"/>
      <c r="B5" s="21"/>
      <c r="C5" s="21"/>
      <c r="D5" s="21"/>
      <c r="E5" s="21"/>
      <c r="F5" s="21"/>
      <c r="G5" s="21"/>
      <c r="H5" s="21"/>
    </row>
    <row r="6" spans="1:8" x14ac:dyDescent="0.3">
      <c r="A6" s="21"/>
      <c r="B6" s="21"/>
      <c r="C6" s="21"/>
      <c r="D6" s="21"/>
      <c r="E6" s="21"/>
      <c r="F6" s="21"/>
      <c r="G6" s="21"/>
      <c r="H6" s="21"/>
    </row>
  </sheetData>
  <mergeCells count="3">
    <mergeCell ref="A1:H1"/>
    <mergeCell ref="A2:H2"/>
    <mergeCell ref="A3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zoomScale="91" workbookViewId="0">
      <selection activeCell="N25" sqref="N25"/>
    </sheetView>
  </sheetViews>
  <sheetFormatPr defaultRowHeight="14.4" x14ac:dyDescent="0.3"/>
  <cols>
    <col min="5" max="5" width="14.21875" customWidth="1"/>
    <col min="13" max="13" width="14.77734375" customWidth="1"/>
    <col min="14" max="14" width="17" customWidth="1"/>
  </cols>
  <sheetData>
    <row r="1" spans="1:14" x14ac:dyDescent="0.3">
      <c r="A1" s="1" t="s">
        <v>3</v>
      </c>
      <c r="B1" s="1" t="s">
        <v>4</v>
      </c>
      <c r="C1" s="1" t="s">
        <v>9</v>
      </c>
      <c r="D1" s="1" t="s">
        <v>10</v>
      </c>
      <c r="E1" s="2"/>
      <c r="F1" s="2"/>
      <c r="G1" s="2"/>
      <c r="H1" s="2"/>
      <c r="I1" s="3"/>
      <c r="J1" s="3"/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3">
      <c r="A2" s="1">
        <v>5</v>
      </c>
      <c r="B2" s="1">
        <v>64</v>
      </c>
      <c r="C2" s="1">
        <f>A2*B2</f>
        <v>320</v>
      </c>
      <c r="D2" s="1">
        <f>A2*A2</f>
        <v>25</v>
      </c>
      <c r="E2" s="2"/>
      <c r="F2" s="13" t="s">
        <v>15</v>
      </c>
      <c r="G2" s="14"/>
      <c r="H2" s="2"/>
      <c r="I2" s="1" t="s">
        <v>16</v>
      </c>
      <c r="J2" s="1">
        <v>12</v>
      </c>
      <c r="K2" s="4">
        <f>$G$5*A2+$G$4</f>
        <v>67.249611600207132</v>
      </c>
      <c r="L2" s="4">
        <f>(B2-$B$15)^2</f>
        <v>227.50694444444431</v>
      </c>
      <c r="M2" s="4">
        <f>(K2-$B$15)^2</f>
        <v>140.03697005706329</v>
      </c>
      <c r="N2" s="4">
        <f>(K2-B2)^2</f>
        <v>10.559975552200756</v>
      </c>
    </row>
    <row r="3" spans="1:14" x14ac:dyDescent="0.3">
      <c r="A3" s="1">
        <v>4</v>
      </c>
      <c r="B3" s="1">
        <v>71</v>
      </c>
      <c r="C3" s="1">
        <f t="shared" ref="C3:C13" si="0">A3*B3</f>
        <v>284</v>
      </c>
      <c r="D3" s="1">
        <f t="shared" ref="D3:D13" si="1">A3*A3</f>
        <v>16</v>
      </c>
      <c r="E3" s="2"/>
      <c r="F3" s="4"/>
      <c r="G3" s="4"/>
      <c r="H3" s="2"/>
      <c r="I3" s="1" t="s">
        <v>17</v>
      </c>
      <c r="J3" s="1">
        <v>2</v>
      </c>
      <c r="K3" s="4">
        <f t="shared" ref="K3:K13" si="2">$G$5*A3+$G$4</f>
        <v>65.598394614189516</v>
      </c>
      <c r="L3" s="4">
        <f t="shared" ref="L3:L12" si="3">(B3-$B$15)^2</f>
        <v>65.3402777777777</v>
      </c>
      <c r="M3" s="4">
        <f t="shared" ref="M3:M13" si="4">(K3-$B$15)^2</f>
        <v>181.84357225906396</v>
      </c>
      <c r="N3" s="4">
        <f t="shared" ref="N3:N12" si="5">(K3-B3)^2</f>
        <v>29.177340744016828</v>
      </c>
    </row>
    <row r="4" spans="1:14" ht="15.6" customHeight="1" x14ac:dyDescent="0.35">
      <c r="A4" s="1">
        <v>3</v>
      </c>
      <c r="B4" s="1">
        <v>54</v>
      </c>
      <c r="C4" s="1">
        <f t="shared" si="0"/>
        <v>162</v>
      </c>
      <c r="D4" s="1">
        <f t="shared" si="1"/>
        <v>9</v>
      </c>
      <c r="E4" s="2"/>
      <c r="F4" s="5" t="s">
        <v>18</v>
      </c>
      <c r="G4" s="4">
        <f>B15-G5*A15</f>
        <v>58.993526670119081</v>
      </c>
      <c r="H4" s="2"/>
      <c r="I4" s="1" t="s">
        <v>19</v>
      </c>
      <c r="J4" s="1">
        <f>(M15*((J2-J3))/(N15*(J3-1)))</f>
        <v>35.966285053440814</v>
      </c>
      <c r="K4" s="4">
        <f t="shared" si="2"/>
        <v>63.947177628171914</v>
      </c>
      <c r="L4" s="4">
        <f t="shared" si="3"/>
        <v>629.17361111111086</v>
      </c>
      <c r="M4" s="4">
        <f t="shared" si="4"/>
        <v>229.10320953089044</v>
      </c>
      <c r="N4" s="4">
        <f t="shared" si="5"/>
        <v>98.946342766403831</v>
      </c>
    </row>
    <row r="5" spans="1:14" ht="15.6" customHeight="1" x14ac:dyDescent="0.35">
      <c r="A5" s="1">
        <v>7</v>
      </c>
      <c r="B5" s="1">
        <v>71</v>
      </c>
      <c r="C5" s="1">
        <f t="shared" si="0"/>
        <v>497</v>
      </c>
      <c r="D5" s="1">
        <f t="shared" si="1"/>
        <v>49</v>
      </c>
      <c r="E5" s="2"/>
      <c r="F5" s="6" t="s">
        <v>20</v>
      </c>
      <c r="G5" s="7">
        <f>(C15-A15*B15)/(D15-A15*A15)</f>
        <v>1.6512169860176098</v>
      </c>
      <c r="H5" s="2"/>
      <c r="I5" s="1" t="s">
        <v>21</v>
      </c>
      <c r="J5" s="1">
        <f>M15/L15</f>
        <v>0.78244924538988059</v>
      </c>
      <c r="K5" s="4">
        <f t="shared" si="2"/>
        <v>70.552045572242349</v>
      </c>
      <c r="L5" s="4">
        <f t="shared" si="3"/>
        <v>65.3402777777777</v>
      </c>
      <c r="M5" s="4">
        <f t="shared" si="4"/>
        <v>72.782870862540733</v>
      </c>
      <c r="N5" s="4">
        <f t="shared" si="5"/>
        <v>0.20066316934768441</v>
      </c>
    </row>
    <row r="6" spans="1:14" x14ac:dyDescent="0.3">
      <c r="A6" s="1">
        <v>13</v>
      </c>
      <c r="B6" s="1">
        <v>93</v>
      </c>
      <c r="C6" s="1">
        <f t="shared" si="0"/>
        <v>1209</v>
      </c>
      <c r="D6" s="1">
        <f t="shared" si="1"/>
        <v>169</v>
      </c>
      <c r="E6" s="2"/>
      <c r="F6" s="2"/>
      <c r="G6" s="2"/>
      <c r="H6" s="2"/>
      <c r="I6" s="3"/>
      <c r="J6" s="3"/>
      <c r="K6" s="4">
        <f t="shared" si="2"/>
        <v>80.459347488348016</v>
      </c>
      <c r="L6" s="4">
        <f t="shared" si="3"/>
        <v>193.67361111111126</v>
      </c>
      <c r="M6" s="4">
        <f t="shared" si="4"/>
        <v>1.8934149548007828</v>
      </c>
      <c r="N6" s="4">
        <f t="shared" si="5"/>
        <v>157.26796541800323</v>
      </c>
    </row>
    <row r="7" spans="1:14" x14ac:dyDescent="0.3">
      <c r="A7" s="1">
        <v>11</v>
      </c>
      <c r="B7" s="1">
        <v>76</v>
      </c>
      <c r="C7" s="1">
        <f t="shared" si="0"/>
        <v>836</v>
      </c>
      <c r="D7" s="1">
        <f t="shared" si="1"/>
        <v>121</v>
      </c>
      <c r="E7" s="2"/>
      <c r="F7" s="15" t="s">
        <v>8</v>
      </c>
      <c r="G7" s="15"/>
      <c r="H7" s="2"/>
      <c r="I7" s="3"/>
      <c r="J7" s="3"/>
      <c r="K7" s="4">
        <f t="shared" si="2"/>
        <v>77.156913516312784</v>
      </c>
      <c r="L7" s="4">
        <f t="shared" si="3"/>
        <v>9.5069444444444144</v>
      </c>
      <c r="M7" s="4">
        <f t="shared" si="4"/>
        <v>3.7110933114094689</v>
      </c>
      <c r="N7" s="4">
        <f t="shared" si="5"/>
        <v>1.3384488842272102</v>
      </c>
    </row>
    <row r="8" spans="1:14" x14ac:dyDescent="0.3">
      <c r="A8" s="1">
        <v>23</v>
      </c>
      <c r="B8" s="1">
        <v>87</v>
      </c>
      <c r="C8" s="1">
        <f t="shared" si="0"/>
        <v>2001</v>
      </c>
      <c r="D8" s="1">
        <f t="shared" si="1"/>
        <v>529</v>
      </c>
      <c r="E8" s="2"/>
      <c r="F8" s="16" t="s">
        <v>22</v>
      </c>
      <c r="G8" s="16"/>
      <c r="H8" s="2"/>
      <c r="I8" s="3"/>
      <c r="J8" s="3"/>
      <c r="K8" s="4">
        <f t="shared" si="2"/>
        <v>96.971517348524117</v>
      </c>
      <c r="L8" s="4">
        <f t="shared" si="3"/>
        <v>62.673611111111185</v>
      </c>
      <c r="M8" s="4">
        <f t="shared" si="4"/>
        <v>319.98712736132723</v>
      </c>
      <c r="N8" s="4">
        <f t="shared" si="5"/>
        <v>99.431158231917436</v>
      </c>
    </row>
    <row r="9" spans="1:14" x14ac:dyDescent="0.3">
      <c r="A9" s="1">
        <v>28</v>
      </c>
      <c r="B9" s="1">
        <v>109</v>
      </c>
      <c r="C9" s="1">
        <f t="shared" si="0"/>
        <v>3052</v>
      </c>
      <c r="D9" s="1">
        <f t="shared" si="1"/>
        <v>784</v>
      </c>
      <c r="E9" s="2"/>
      <c r="F9" s="2"/>
      <c r="G9" s="2"/>
      <c r="H9" s="2"/>
      <c r="I9" s="3"/>
      <c r="J9" s="3"/>
      <c r="K9" s="4">
        <f t="shared" si="2"/>
        <v>105.22760227861215</v>
      </c>
      <c r="L9" s="4">
        <f t="shared" si="3"/>
        <v>895.00694444444468</v>
      </c>
      <c r="M9" s="4">
        <f t="shared" si="4"/>
        <v>683.52279868307073</v>
      </c>
      <c r="N9" s="4">
        <f t="shared" si="5"/>
        <v>14.23098456833222</v>
      </c>
    </row>
    <row r="10" spans="1:14" x14ac:dyDescent="0.3">
      <c r="A10" s="1">
        <v>18</v>
      </c>
      <c r="B10" s="1">
        <v>83</v>
      </c>
      <c r="C10" s="1">
        <f t="shared" si="0"/>
        <v>1494</v>
      </c>
      <c r="D10" s="1">
        <f t="shared" si="1"/>
        <v>324</v>
      </c>
      <c r="E10" s="2"/>
      <c r="F10" s="17" t="s">
        <v>23</v>
      </c>
      <c r="G10" s="17"/>
      <c r="H10" s="2"/>
      <c r="I10" s="3"/>
      <c r="J10" s="3"/>
      <c r="K10" s="4">
        <f t="shared" si="2"/>
        <v>88.715432418436052</v>
      </c>
      <c r="L10" s="4">
        <f t="shared" si="3"/>
        <v>15.340277777777814</v>
      </c>
      <c r="M10" s="4">
        <f t="shared" si="4"/>
        <v>92.777332785236723</v>
      </c>
      <c r="N10" s="4">
        <f t="shared" si="5"/>
        <v>32.666167729709777</v>
      </c>
    </row>
    <row r="11" spans="1:14" ht="15.6" customHeight="1" x14ac:dyDescent="0.35">
      <c r="A11" s="1">
        <v>9</v>
      </c>
      <c r="B11" s="1">
        <v>75</v>
      </c>
      <c r="C11" s="1">
        <f t="shared" si="0"/>
        <v>675</v>
      </c>
      <c r="D11" s="1">
        <f t="shared" si="1"/>
        <v>81</v>
      </c>
      <c r="E11" s="2"/>
      <c r="F11" s="8" t="s">
        <v>24</v>
      </c>
      <c r="G11" s="4">
        <v>0.05</v>
      </c>
      <c r="H11" s="9" t="s">
        <v>25</v>
      </c>
      <c r="I11" s="9">
        <f>FINV(G11,$J$3-1,$J$2-$J$3)</f>
        <v>4.9646027437307128</v>
      </c>
      <c r="J11" s="3"/>
      <c r="K11" s="4">
        <f t="shared" si="2"/>
        <v>73.854479544277567</v>
      </c>
      <c r="L11" s="4">
        <f t="shared" si="3"/>
        <v>16.673611111111072</v>
      </c>
      <c r="M11" s="4">
        <f t="shared" si="4"/>
        <v>27.340911947322798</v>
      </c>
      <c r="N11" s="4">
        <f t="shared" si="5"/>
        <v>1.3122171144785315</v>
      </c>
    </row>
    <row r="12" spans="1:14" ht="15.6" customHeight="1" x14ac:dyDescent="0.35">
      <c r="A12" s="1">
        <v>12</v>
      </c>
      <c r="B12" s="1">
        <v>79</v>
      </c>
      <c r="C12" s="1">
        <f t="shared" si="0"/>
        <v>948</v>
      </c>
      <c r="D12" s="1">
        <f t="shared" si="1"/>
        <v>144</v>
      </c>
      <c r="E12" s="3"/>
      <c r="F12" s="8" t="s">
        <v>26</v>
      </c>
      <c r="G12" s="4">
        <v>0.01</v>
      </c>
      <c r="H12" s="9" t="s">
        <v>27</v>
      </c>
      <c r="I12" s="9">
        <f t="shared" ref="I12:I13" si="6">FINV(G12,$J$3-1,$J$2-$J$3)</f>
        <v>10.044289273396597</v>
      </c>
      <c r="J12" s="3"/>
      <c r="K12" s="4">
        <f t="shared" si="2"/>
        <v>78.8081305023304</v>
      </c>
      <c r="L12" s="4">
        <f t="shared" si="3"/>
        <v>6.9444444444436548E-3</v>
      </c>
      <c r="M12" s="4">
        <f t="shared" si="4"/>
        <v>7.5736598192026619E-2</v>
      </c>
      <c r="N12" s="4">
        <f t="shared" si="5"/>
        <v>3.6813904135984739E-2</v>
      </c>
    </row>
    <row r="13" spans="1:14" ht="15.6" customHeight="1" x14ac:dyDescent="0.35">
      <c r="A13" s="1">
        <v>13</v>
      </c>
      <c r="B13" s="1">
        <v>87</v>
      </c>
      <c r="C13" s="1">
        <f t="shared" si="0"/>
        <v>1131</v>
      </c>
      <c r="D13" s="1">
        <f t="shared" si="1"/>
        <v>169</v>
      </c>
      <c r="E13" s="3"/>
      <c r="F13" s="8" t="s">
        <v>28</v>
      </c>
      <c r="G13" s="4">
        <v>1E-3</v>
      </c>
      <c r="H13" s="9" t="s">
        <v>29</v>
      </c>
      <c r="I13" s="9">
        <f t="shared" si="6"/>
        <v>21.039595271003961</v>
      </c>
      <c r="J13" s="3"/>
      <c r="K13" s="4">
        <f t="shared" si="2"/>
        <v>80.459347488348016</v>
      </c>
      <c r="L13" s="4">
        <f>(B13-$B$15)^2</f>
        <v>62.673611111111185</v>
      </c>
      <c r="M13" s="4">
        <f t="shared" si="4"/>
        <v>1.8934149548007828</v>
      </c>
      <c r="N13" s="4">
        <f>(K13-B13)^2</f>
        <v>42.780135278179415</v>
      </c>
    </row>
    <row r="14" spans="1:14" ht="15.6" x14ac:dyDescent="0.35">
      <c r="A14" s="1" t="s">
        <v>30</v>
      </c>
      <c r="B14" s="1" t="s">
        <v>31</v>
      </c>
      <c r="C14" s="1" t="s">
        <v>32</v>
      </c>
      <c r="D14" s="1" t="s">
        <v>33</v>
      </c>
      <c r="E14" s="3"/>
      <c r="F14" s="3"/>
      <c r="G14" s="2"/>
      <c r="H14" s="2"/>
      <c r="I14" s="3"/>
      <c r="J14" s="2"/>
      <c r="K14" s="1" t="s">
        <v>34</v>
      </c>
      <c r="L14" s="1" t="s">
        <v>35</v>
      </c>
      <c r="M14" s="1" t="s">
        <v>36</v>
      </c>
      <c r="N14" s="1" t="s">
        <v>37</v>
      </c>
    </row>
    <row r="15" spans="1:14" x14ac:dyDescent="0.3">
      <c r="A15" s="4">
        <f>AVERAGE(A2:A13)</f>
        <v>12.166666666666666</v>
      </c>
      <c r="B15" s="4">
        <f>AVERAGE(B2:B13)</f>
        <v>79.083333333333329</v>
      </c>
      <c r="C15" s="10">
        <f>AVERAGE(C2:C13)</f>
        <v>1050.75</v>
      </c>
      <c r="D15" s="1">
        <f>AVERAGE(D2:D13)</f>
        <v>201.66666666666666</v>
      </c>
      <c r="E15" s="3"/>
      <c r="F15" s="3"/>
      <c r="G15" s="2"/>
      <c r="H15" s="2"/>
      <c r="I15" s="2"/>
      <c r="J15" s="2"/>
      <c r="K15" s="4">
        <f>M15+N15</f>
        <v>2242.916666666672</v>
      </c>
      <c r="L15" s="4">
        <f>SUM(L2:L13)</f>
        <v>2242.9166666666661</v>
      </c>
      <c r="M15" s="4">
        <f>SUM(M2:M13)</f>
        <v>1754.9684533057191</v>
      </c>
      <c r="N15" s="4">
        <f>SUM(N2:N13)</f>
        <v>487.94821336095299</v>
      </c>
    </row>
    <row r="16" spans="1:1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4" t="s">
        <v>5</v>
      </c>
      <c r="B17" s="24"/>
      <c r="C17" s="2"/>
      <c r="D17" s="2"/>
      <c r="E17" s="11"/>
      <c r="F17" s="3"/>
      <c r="G17" s="2"/>
      <c r="H17" s="2"/>
      <c r="I17" s="23"/>
      <c r="J17" s="23"/>
      <c r="K17" s="2"/>
      <c r="L17" s="2"/>
      <c r="M17" s="2"/>
      <c r="N17" s="2"/>
    </row>
    <row r="18" spans="1:14" x14ac:dyDescent="0.3">
      <c r="A18" s="24" t="s">
        <v>38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"/>
    </row>
    <row r="19" spans="1:14" ht="14.4" customHeight="1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"/>
    </row>
    <row r="20" spans="1:14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"/>
    </row>
    <row r="21" spans="1:14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"/>
    </row>
    <row r="22" spans="1:14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"/>
    </row>
    <row r="23" spans="1:14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"/>
    </row>
    <row r="24" spans="1:14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"/>
    </row>
  </sheetData>
  <mergeCells count="3">
    <mergeCell ref="I17:J17"/>
    <mergeCell ref="A18:M24"/>
    <mergeCell ref="A17:B1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22F9-65B7-4D22-A26C-062A4DB96DDF}">
  <dimension ref="A1:H10"/>
  <sheetViews>
    <sheetView workbookViewId="0">
      <selection activeCell="K24" sqref="K24"/>
    </sheetView>
  </sheetViews>
  <sheetFormatPr defaultRowHeight="14.4" x14ac:dyDescent="0.3"/>
  <sheetData>
    <row r="1" spans="1:8" ht="18" x14ac:dyDescent="0.35">
      <c r="A1" s="20" t="s">
        <v>6</v>
      </c>
      <c r="B1" s="21"/>
      <c r="C1" s="21"/>
      <c r="D1" s="21"/>
      <c r="E1" s="21"/>
      <c r="F1" s="21"/>
      <c r="G1" s="21"/>
      <c r="H1" s="21"/>
    </row>
    <row r="2" spans="1:8" x14ac:dyDescent="0.3">
      <c r="A2" s="21" t="s">
        <v>1</v>
      </c>
      <c r="B2" s="21"/>
      <c r="C2" s="21"/>
      <c r="D2" s="21"/>
      <c r="E2" s="21"/>
      <c r="F2" s="21"/>
      <c r="G2" s="21"/>
      <c r="H2" s="21"/>
    </row>
    <row r="3" spans="1:8" ht="14.4" customHeight="1" x14ac:dyDescent="0.3">
      <c r="A3" s="22" t="s">
        <v>7</v>
      </c>
      <c r="B3" s="21"/>
      <c r="C3" s="21"/>
      <c r="D3" s="21"/>
      <c r="E3" s="21"/>
      <c r="F3" s="21"/>
      <c r="G3" s="21"/>
      <c r="H3" s="21"/>
    </row>
    <row r="4" spans="1:8" x14ac:dyDescent="0.3">
      <c r="A4" s="21"/>
      <c r="B4" s="21"/>
      <c r="C4" s="21"/>
      <c r="D4" s="21"/>
      <c r="E4" s="21"/>
      <c r="F4" s="21"/>
      <c r="G4" s="21"/>
      <c r="H4" s="21"/>
    </row>
    <row r="5" spans="1:8" x14ac:dyDescent="0.3">
      <c r="A5" s="21"/>
      <c r="B5" s="21"/>
      <c r="C5" s="21"/>
      <c r="D5" s="21"/>
      <c r="E5" s="21"/>
      <c r="F5" s="21"/>
      <c r="G5" s="21"/>
      <c r="H5" s="21"/>
    </row>
    <row r="6" spans="1:8" x14ac:dyDescent="0.3">
      <c r="A6" s="21"/>
      <c r="B6" s="21"/>
      <c r="C6" s="21"/>
      <c r="D6" s="21"/>
      <c r="E6" s="21"/>
      <c r="F6" s="21"/>
      <c r="G6" s="21"/>
      <c r="H6" s="21"/>
    </row>
    <row r="7" spans="1:8" x14ac:dyDescent="0.3">
      <c r="A7" s="21"/>
      <c r="B7" s="21"/>
      <c r="C7" s="21"/>
      <c r="D7" s="21"/>
      <c r="E7" s="21"/>
      <c r="F7" s="21"/>
      <c r="G7" s="21"/>
      <c r="H7" s="21"/>
    </row>
    <row r="8" spans="1:8" x14ac:dyDescent="0.3">
      <c r="A8" s="21"/>
      <c r="B8" s="21"/>
      <c r="C8" s="21"/>
      <c r="D8" s="21"/>
      <c r="E8" s="21"/>
      <c r="F8" s="21"/>
      <c r="G8" s="21"/>
      <c r="H8" s="21"/>
    </row>
    <row r="9" spans="1:8" x14ac:dyDescent="0.3">
      <c r="A9" s="21"/>
      <c r="B9" s="21"/>
      <c r="C9" s="21"/>
      <c r="D9" s="21"/>
      <c r="E9" s="21"/>
      <c r="F9" s="21"/>
      <c r="G9" s="21"/>
      <c r="H9" s="21"/>
    </row>
    <row r="10" spans="1:8" x14ac:dyDescent="0.3">
      <c r="A10" s="21"/>
      <c r="B10" s="21"/>
      <c r="C10" s="21"/>
      <c r="D10" s="21"/>
      <c r="E10" s="21"/>
      <c r="F10" s="21"/>
      <c r="G10" s="21"/>
      <c r="H10" s="21"/>
    </row>
  </sheetData>
  <mergeCells count="3">
    <mergeCell ref="A1:H1"/>
    <mergeCell ref="A2:H2"/>
    <mergeCell ref="A3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A25E-EAA5-44A6-A91E-00E44D74787B}">
  <dimension ref="A1:S21"/>
  <sheetViews>
    <sheetView workbookViewId="0">
      <selection activeCell="K26" sqref="K26"/>
    </sheetView>
  </sheetViews>
  <sheetFormatPr defaultRowHeight="14.4" x14ac:dyDescent="0.3"/>
  <sheetData>
    <row r="1" spans="1:19" x14ac:dyDescent="0.3">
      <c r="A1" s="1" t="s">
        <v>39</v>
      </c>
      <c r="B1" s="1">
        <v>10</v>
      </c>
      <c r="C1" s="1">
        <v>12</v>
      </c>
      <c r="D1" s="1">
        <v>13</v>
      </c>
      <c r="E1" s="1">
        <v>14</v>
      </c>
      <c r="F1" s="1">
        <v>15</v>
      </c>
      <c r="G1" s="1">
        <v>16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12" t="s">
        <v>40</v>
      </c>
      <c r="B2" s="1">
        <f>(A6*B6+A7*B7+A8*B8+A9*B9+A10*B10)/B11</f>
        <v>5</v>
      </c>
      <c r="C2" s="1">
        <f>(A6*C6+A7*C7+A8*C8+A9*C9+A10*C10)/C11</f>
        <v>8.5</v>
      </c>
      <c r="D2" s="1">
        <f>(A6*D6+A7*D7+A8*D8+A9*D9+A10*D10)/D11</f>
        <v>12.857142857142858</v>
      </c>
      <c r="E2" s="1">
        <f>(A6*E6+A7*E7+A8*E8+A9*E9+A10*E10)/E11</f>
        <v>19.736842105263158</v>
      </c>
      <c r="F2" s="1">
        <f>(A6*F6+A7*F7+A8*F8+A9*F9+A10*F10)/F11</f>
        <v>22.5</v>
      </c>
      <c r="G2" s="1">
        <f>(A6*G6+A7*G7+A8*G8+A9*G9+A10*G10)/G11</f>
        <v>25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" t="s">
        <v>41</v>
      </c>
      <c r="B3" s="1">
        <f>SUM(B6)</f>
        <v>2</v>
      </c>
      <c r="C3" s="1">
        <f>SUM(C6,C7)</f>
        <v>10</v>
      </c>
      <c r="D3" s="1">
        <f>SUM(D7,D8,D9)</f>
        <v>7</v>
      </c>
      <c r="E3" s="1">
        <f>SUM(E8,E9,E10)</f>
        <v>19</v>
      </c>
      <c r="F3" s="1">
        <f>SUM(F8,F9,F10)</f>
        <v>10</v>
      </c>
      <c r="G3" s="1">
        <f>SUM(G10)</f>
        <v>3</v>
      </c>
      <c r="H3" s="2"/>
      <c r="I3" s="2"/>
    </row>
    <row r="4" spans="1:19" x14ac:dyDescent="0.3">
      <c r="A4" s="2"/>
      <c r="B4" s="2"/>
      <c r="C4" s="2"/>
      <c r="D4" s="2"/>
      <c r="E4" s="2"/>
      <c r="F4" s="2"/>
      <c r="G4" s="2"/>
      <c r="H4" s="2"/>
      <c r="I4" s="2"/>
    </row>
    <row r="5" spans="1:19" x14ac:dyDescent="0.3">
      <c r="A5" s="1"/>
      <c r="B5" s="1">
        <v>10</v>
      </c>
      <c r="C5" s="1">
        <v>12</v>
      </c>
      <c r="D5" s="1">
        <v>13</v>
      </c>
      <c r="E5" s="1">
        <v>14</v>
      </c>
      <c r="F5" s="1">
        <v>15</v>
      </c>
      <c r="G5" s="1">
        <v>16</v>
      </c>
      <c r="H5" s="2"/>
      <c r="I5" s="2"/>
    </row>
    <row r="6" spans="1:19" x14ac:dyDescent="0.3">
      <c r="A6" s="1">
        <v>5</v>
      </c>
      <c r="B6" s="1">
        <v>2</v>
      </c>
      <c r="C6" s="1">
        <v>3</v>
      </c>
      <c r="D6" s="1"/>
      <c r="E6" s="1"/>
      <c r="F6" s="1"/>
      <c r="G6" s="1"/>
      <c r="H6" s="2"/>
      <c r="I6" s="2"/>
    </row>
    <row r="7" spans="1:19" x14ac:dyDescent="0.3">
      <c r="A7" s="1">
        <v>10</v>
      </c>
      <c r="B7" s="1"/>
      <c r="C7" s="1">
        <v>7</v>
      </c>
      <c r="D7" s="1">
        <v>4</v>
      </c>
      <c r="E7" s="1"/>
      <c r="F7" s="1"/>
      <c r="G7" s="1"/>
      <c r="H7" s="2"/>
      <c r="I7" s="2"/>
    </row>
    <row r="8" spans="1:19" x14ac:dyDescent="0.3">
      <c r="A8" s="1">
        <v>15</v>
      </c>
      <c r="B8" s="1"/>
      <c r="C8" s="1"/>
      <c r="D8" s="1">
        <v>2</v>
      </c>
      <c r="E8" s="1">
        <v>5</v>
      </c>
      <c r="F8" s="1">
        <v>2</v>
      </c>
      <c r="G8" s="1"/>
      <c r="H8" s="2"/>
      <c r="I8" s="2"/>
    </row>
    <row r="9" spans="1:19" x14ac:dyDescent="0.3">
      <c r="A9" s="1">
        <v>20</v>
      </c>
      <c r="B9" s="1"/>
      <c r="C9" s="1"/>
      <c r="D9" s="1">
        <v>1</v>
      </c>
      <c r="E9" s="1">
        <v>10</v>
      </c>
      <c r="F9" s="1">
        <v>1</v>
      </c>
      <c r="G9" s="1"/>
      <c r="H9" s="2"/>
      <c r="I9" s="2"/>
    </row>
    <row r="10" spans="1:19" x14ac:dyDescent="0.3">
      <c r="A10" s="1">
        <v>25</v>
      </c>
      <c r="B10" s="1"/>
      <c r="C10" s="1"/>
      <c r="D10" s="1"/>
      <c r="E10" s="1">
        <v>4</v>
      </c>
      <c r="F10" s="1">
        <v>7</v>
      </c>
      <c r="G10" s="1">
        <v>3</v>
      </c>
      <c r="H10" s="2"/>
      <c r="I10" s="2"/>
    </row>
    <row r="11" spans="1:19" x14ac:dyDescent="0.3">
      <c r="A11" s="12" t="s">
        <v>42</v>
      </c>
      <c r="B11" s="1">
        <f>SUM(B6)</f>
        <v>2</v>
      </c>
      <c r="C11" s="1">
        <f>SUM(C6,C7)</f>
        <v>10</v>
      </c>
      <c r="D11" s="1">
        <f>SUM(D7,D8,D9)</f>
        <v>7</v>
      </c>
      <c r="E11" s="1">
        <f>SUM(E8,E9,E10)</f>
        <v>19</v>
      </c>
      <c r="F11" s="1">
        <f>SUM(F8,F9,F10)</f>
        <v>10</v>
      </c>
      <c r="G11" s="1">
        <f>SUM(G10)</f>
        <v>3</v>
      </c>
      <c r="H11" s="2"/>
      <c r="I11" s="2"/>
    </row>
    <row r="12" spans="1:19" x14ac:dyDescent="0.3">
      <c r="A12" s="1" t="s">
        <v>43</v>
      </c>
      <c r="B12" s="1">
        <f>(A6*B6+A7*B7+A8*B8+A9*B9+A10*B10)/B11</f>
        <v>5</v>
      </c>
      <c r="C12" s="1">
        <f>(A6*C6+A7*C7+A8*C8+A9*C9+A10*C10)/C11</f>
        <v>8.5</v>
      </c>
      <c r="D12" s="1">
        <f>(A6*D6+A7*D7+A8*D8+A9*D9+A10*D10)/D11</f>
        <v>12.857142857142858</v>
      </c>
      <c r="E12" s="1">
        <f>(A6*E6+A7*E7+A8*E8+A9*E9+A10*E10)/E11</f>
        <v>19.736842105263158</v>
      </c>
      <c r="F12" s="1">
        <f>(A6*F6+A7*F7+A8*F8+A9*F9+A10*F10)/F11</f>
        <v>22.5</v>
      </c>
      <c r="G12" s="1">
        <f>(A6*G6+A7*G7+A8*G8+A9*G9+A10*G10)/G11</f>
        <v>25</v>
      </c>
      <c r="H12" s="2"/>
      <c r="I12" s="2"/>
    </row>
    <row r="13" spans="1:19" x14ac:dyDescent="0.3">
      <c r="A13" s="2"/>
      <c r="B13" s="2"/>
      <c r="C13" s="2"/>
      <c r="D13" s="2"/>
      <c r="E13" s="2"/>
      <c r="F13" s="2"/>
      <c r="G13" s="2"/>
      <c r="H13" s="2"/>
      <c r="I13" s="2"/>
    </row>
    <row r="16" spans="1:19" x14ac:dyDescent="0.3">
      <c r="A16" s="24" t="s">
        <v>44</v>
      </c>
      <c r="B16" s="24"/>
      <c r="C16" s="24"/>
      <c r="D16" s="24"/>
      <c r="E16" s="24"/>
      <c r="F16" s="24"/>
      <c r="G16" s="24"/>
      <c r="H16" s="24"/>
    </row>
    <row r="17" spans="1:8" x14ac:dyDescent="0.3">
      <c r="A17" s="24"/>
      <c r="B17" s="24"/>
      <c r="C17" s="24"/>
      <c r="D17" s="24"/>
      <c r="E17" s="24"/>
      <c r="F17" s="24"/>
      <c r="G17" s="24"/>
      <c r="H17" s="24"/>
    </row>
    <row r="18" spans="1:8" x14ac:dyDescent="0.3">
      <c r="A18" s="24"/>
      <c r="B18" s="24"/>
      <c r="C18" s="24"/>
      <c r="D18" s="24"/>
      <c r="E18" s="24"/>
      <c r="F18" s="24"/>
      <c r="G18" s="24"/>
      <c r="H18" s="24"/>
    </row>
    <row r="19" spans="1:8" x14ac:dyDescent="0.3">
      <c r="A19" s="24"/>
      <c r="B19" s="24"/>
      <c r="C19" s="24"/>
      <c r="D19" s="24"/>
      <c r="E19" s="24"/>
      <c r="F19" s="24"/>
      <c r="G19" s="24"/>
      <c r="H19" s="24"/>
    </row>
    <row r="20" spans="1:8" x14ac:dyDescent="0.3">
      <c r="A20" s="24"/>
      <c r="B20" s="24"/>
      <c r="C20" s="24"/>
      <c r="D20" s="24"/>
      <c r="E20" s="24"/>
      <c r="F20" s="24"/>
      <c r="G20" s="24"/>
      <c r="H20" s="24"/>
    </row>
    <row r="21" spans="1:8" x14ac:dyDescent="0.3">
      <c r="A21" s="24"/>
      <c r="B21" s="24"/>
      <c r="C21" s="24"/>
      <c r="D21" s="24"/>
      <c r="E21" s="24"/>
      <c r="F21" s="24"/>
      <c r="G21" s="24"/>
      <c r="H21" s="24"/>
    </row>
  </sheetData>
  <mergeCells count="1">
    <mergeCell ref="A16:H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318E-D22C-4FDC-A819-02213D437992}">
  <dimension ref="A1:A6"/>
  <sheetViews>
    <sheetView workbookViewId="0">
      <selection activeCell="L28" sqref="L28"/>
    </sheetView>
  </sheetViews>
  <sheetFormatPr defaultRowHeight="14.4" x14ac:dyDescent="0.3"/>
  <sheetData>
    <row r="1" spans="1:1" x14ac:dyDescent="0.3">
      <c r="A1" t="s">
        <v>45</v>
      </c>
    </row>
    <row r="3" spans="1:1" x14ac:dyDescent="0.3">
      <c r="A3" t="s">
        <v>46</v>
      </c>
    </row>
    <row r="5" spans="1:1" x14ac:dyDescent="0.3">
      <c r="A5" t="s">
        <v>47</v>
      </c>
    </row>
    <row r="6" spans="1:1" x14ac:dyDescent="0.3">
      <c r="A6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6D02-60DA-47DC-AB3A-812C47F69FDF}">
  <dimension ref="A1:N24"/>
  <sheetViews>
    <sheetView workbookViewId="0">
      <selection activeCell="Q26" sqref="Q26"/>
    </sheetView>
  </sheetViews>
  <sheetFormatPr defaultRowHeight="14.4" x14ac:dyDescent="0.3"/>
  <sheetData>
    <row r="1" spans="1:14" x14ac:dyDescent="0.3">
      <c r="A1" s="1" t="s">
        <v>3</v>
      </c>
      <c r="B1" s="1" t="s">
        <v>4</v>
      </c>
      <c r="C1" s="1" t="s">
        <v>9</v>
      </c>
      <c r="D1" s="1" t="s">
        <v>10</v>
      </c>
      <c r="E1" s="18"/>
      <c r="F1" s="18"/>
      <c r="G1" s="18"/>
      <c r="H1" s="18"/>
      <c r="I1" s="19"/>
      <c r="J1" s="19"/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3">
      <c r="A2" s="1">
        <v>2.5</v>
      </c>
      <c r="B2" s="1">
        <v>1.5</v>
      </c>
      <c r="C2" s="1">
        <f>A2*B2</f>
        <v>3.75</v>
      </c>
      <c r="D2" s="1">
        <f>A2*A2</f>
        <v>6.25</v>
      </c>
      <c r="E2" s="18"/>
      <c r="F2" s="13" t="s">
        <v>15</v>
      </c>
      <c r="G2" s="14"/>
      <c r="H2" s="18"/>
      <c r="I2" s="1" t="s">
        <v>16</v>
      </c>
      <c r="J2" s="1">
        <v>12</v>
      </c>
      <c r="K2" s="4">
        <f>$G$5*A2+$G$4</f>
        <v>1.6024918350066453</v>
      </c>
      <c r="L2" s="4">
        <f>(B2-$B$15)^2</f>
        <v>2.5867361111111098</v>
      </c>
      <c r="M2" s="4">
        <f>(K2-$B$15)^2</f>
        <v>2.2675586180827638</v>
      </c>
      <c r="N2" s="4">
        <f>(K2-B2)^2</f>
        <v>1.0504576243029397E-2</v>
      </c>
    </row>
    <row r="3" spans="1:14" x14ac:dyDescent="0.3">
      <c r="A3" s="1">
        <v>2.9</v>
      </c>
      <c r="B3" s="1">
        <v>2</v>
      </c>
      <c r="C3" s="1">
        <f t="shared" ref="C3:C13" si="0">A3*B3</f>
        <v>5.8</v>
      </c>
      <c r="D3" s="1">
        <f t="shared" ref="D3:D13" si="1">A3*A3</f>
        <v>8.41</v>
      </c>
      <c r="E3" s="18"/>
      <c r="F3" s="4"/>
      <c r="G3" s="4"/>
      <c r="H3" s="18"/>
      <c r="I3" s="1" t="s">
        <v>17</v>
      </c>
      <c r="J3" s="1">
        <v>2</v>
      </c>
      <c r="K3" s="4">
        <f t="shared" ref="K3:K13" si="2">$G$5*A3+$G$4</f>
        <v>2.0628764969154414</v>
      </c>
      <c r="L3" s="4">
        <f t="shared" ref="L3:L12" si="3">(B3-$B$15)^2</f>
        <v>1.2284027777777768</v>
      </c>
      <c r="M3" s="4">
        <f t="shared" ref="M3:M13" si="4">(K3-$B$15)^2</f>
        <v>1.0929799968129061</v>
      </c>
      <c r="N3" s="4">
        <f t="shared" ref="N3:N12" si="5">(K3-B3)^2</f>
        <v>3.9534538643575109E-3</v>
      </c>
    </row>
    <row r="4" spans="1:14" ht="15.6" x14ac:dyDescent="0.35">
      <c r="A4" s="1">
        <v>3.4</v>
      </c>
      <c r="B4" s="1">
        <v>2.5</v>
      </c>
      <c r="C4" s="1">
        <f t="shared" si="0"/>
        <v>8.5</v>
      </c>
      <c r="D4" s="1">
        <f t="shared" si="1"/>
        <v>11.559999999999999</v>
      </c>
      <c r="E4" s="18"/>
      <c r="F4" s="5" t="s">
        <v>18</v>
      </c>
      <c r="G4" s="4">
        <f>B15-G5*A15</f>
        <v>-1.2749123019233317</v>
      </c>
      <c r="H4" s="18"/>
      <c r="I4" s="1" t="s">
        <v>19</v>
      </c>
      <c r="J4" s="1">
        <f>(M15*((J2-J3))/(N15*(J3-1)))</f>
        <v>347.00269905223104</v>
      </c>
      <c r="K4" s="4">
        <f t="shared" si="2"/>
        <v>2.6383573243014369</v>
      </c>
      <c r="L4" s="4">
        <f t="shared" si="3"/>
        <v>0.37006944444444395</v>
      </c>
      <c r="M4" s="4">
        <f t="shared" si="4"/>
        <v>0.22087744906554885</v>
      </c>
      <c r="N4" s="4">
        <f t="shared" si="5"/>
        <v>1.9142749187852977E-2</v>
      </c>
    </row>
    <row r="5" spans="1:14" ht="15.6" x14ac:dyDescent="0.35">
      <c r="A5" s="1">
        <v>3.8</v>
      </c>
      <c r="B5" s="1">
        <v>3</v>
      </c>
      <c r="C5" s="1">
        <f t="shared" si="0"/>
        <v>11.399999999999999</v>
      </c>
      <c r="D5" s="1">
        <f t="shared" si="1"/>
        <v>14.44</v>
      </c>
      <c r="E5" s="18"/>
      <c r="F5" s="6" t="s">
        <v>20</v>
      </c>
      <c r="G5" s="7">
        <f>(C15-A15*B15)/(D15-A15*A15)</f>
        <v>1.1509616547719907</v>
      </c>
      <c r="H5" s="18"/>
      <c r="I5" s="1" t="s">
        <v>21</v>
      </c>
      <c r="J5" s="1">
        <f>M15/L15</f>
        <v>0.9719890072916969</v>
      </c>
      <c r="K5" s="4">
        <f t="shared" si="2"/>
        <v>3.0987419862102326</v>
      </c>
      <c r="L5" s="4">
        <f t="shared" si="3"/>
        <v>1.1736111111111027E-2</v>
      </c>
      <c r="M5" s="4">
        <f t="shared" si="4"/>
        <v>9.1993939635806146E-5</v>
      </c>
      <c r="N5" s="4">
        <f t="shared" si="5"/>
        <v>9.7499798407417564E-3</v>
      </c>
    </row>
    <row r="6" spans="1:14" x14ac:dyDescent="0.3">
      <c r="A6" s="1">
        <v>4.0999999999999996</v>
      </c>
      <c r="B6" s="1">
        <v>3.5</v>
      </c>
      <c r="C6" s="1">
        <f t="shared" si="0"/>
        <v>14.349999999999998</v>
      </c>
      <c r="D6" s="1">
        <f t="shared" si="1"/>
        <v>16.809999999999999</v>
      </c>
      <c r="E6" s="18"/>
      <c r="F6" s="18"/>
      <c r="G6" s="18"/>
      <c r="H6" s="18"/>
      <c r="I6" s="19"/>
      <c r="J6" s="19"/>
      <c r="K6" s="4">
        <f t="shared" si="2"/>
        <v>3.4440304826418298</v>
      </c>
      <c r="L6" s="4">
        <f t="shared" si="3"/>
        <v>0.15340277777777808</v>
      </c>
      <c r="M6" s="4">
        <f t="shared" si="4"/>
        <v>0.1126925760538512</v>
      </c>
      <c r="N6" s="4">
        <f t="shared" si="5"/>
        <v>3.1325868733065197E-3</v>
      </c>
    </row>
    <row r="7" spans="1:14" x14ac:dyDescent="0.3">
      <c r="A7" s="1">
        <v>4.4000000000000004</v>
      </c>
      <c r="B7" s="1">
        <v>4</v>
      </c>
      <c r="C7" s="1">
        <f t="shared" si="0"/>
        <v>17.600000000000001</v>
      </c>
      <c r="D7" s="1">
        <f t="shared" si="1"/>
        <v>19.360000000000003</v>
      </c>
      <c r="E7" s="18"/>
      <c r="F7" s="15" t="s">
        <v>8</v>
      </c>
      <c r="G7" s="15"/>
      <c r="H7" s="18"/>
      <c r="I7" s="19"/>
      <c r="J7" s="19"/>
      <c r="K7" s="4">
        <f t="shared" si="2"/>
        <v>3.7893189790734279</v>
      </c>
      <c r="L7" s="4">
        <f t="shared" si="3"/>
        <v>0.79506944444444516</v>
      </c>
      <c r="M7" s="4">
        <f t="shared" si="4"/>
        <v>0.46374144970405401</v>
      </c>
      <c r="N7" s="4">
        <f t="shared" si="5"/>
        <v>4.4386492578662728E-2</v>
      </c>
    </row>
    <row r="8" spans="1:14" x14ac:dyDescent="0.3">
      <c r="A8" s="1">
        <v>5</v>
      </c>
      <c r="B8" s="1">
        <v>4.5</v>
      </c>
      <c r="C8" s="1">
        <f t="shared" si="0"/>
        <v>22.5</v>
      </c>
      <c r="D8" s="1">
        <f t="shared" si="1"/>
        <v>25</v>
      </c>
      <c r="E8" s="18"/>
      <c r="F8" s="16" t="s">
        <v>22</v>
      </c>
      <c r="G8" s="16"/>
      <c r="H8" s="18"/>
      <c r="I8" s="19"/>
      <c r="J8" s="19"/>
      <c r="K8" s="4">
        <f t="shared" si="2"/>
        <v>4.4798959719366227</v>
      </c>
      <c r="L8" s="4">
        <f t="shared" si="3"/>
        <v>1.9367361111111121</v>
      </c>
      <c r="M8" s="4">
        <f t="shared" si="4"/>
        <v>1.8811840716124184</v>
      </c>
      <c r="N8" s="4">
        <f t="shared" si="5"/>
        <v>4.04171944373062E-4</v>
      </c>
    </row>
    <row r="9" spans="1:14" x14ac:dyDescent="0.3">
      <c r="A9" s="1">
        <v>3.8</v>
      </c>
      <c r="B9" s="1">
        <v>3.2</v>
      </c>
      <c r="C9" s="1">
        <f t="shared" si="0"/>
        <v>12.16</v>
      </c>
      <c r="D9" s="1">
        <f t="shared" si="1"/>
        <v>14.44</v>
      </c>
      <c r="E9" s="18"/>
      <c r="F9" s="18"/>
      <c r="G9" s="18"/>
      <c r="H9" s="18"/>
      <c r="I9" s="19"/>
      <c r="J9" s="19"/>
      <c r="K9" s="4">
        <f t="shared" si="2"/>
        <v>3.0987419862102326</v>
      </c>
      <c r="L9" s="4">
        <f t="shared" si="3"/>
        <v>8.4027777777778805E-3</v>
      </c>
      <c r="M9" s="4">
        <f t="shared" si="4"/>
        <v>9.1993939635806146E-5</v>
      </c>
      <c r="N9" s="4">
        <f t="shared" si="5"/>
        <v>1.0253185356648769E-2</v>
      </c>
    </row>
    <row r="10" spans="1:14" x14ac:dyDescent="0.3">
      <c r="A10" s="1">
        <v>2.9</v>
      </c>
      <c r="B10" s="1">
        <v>2.4</v>
      </c>
      <c r="C10" s="1">
        <f t="shared" si="0"/>
        <v>6.96</v>
      </c>
      <c r="D10" s="1">
        <f t="shared" si="1"/>
        <v>8.41</v>
      </c>
      <c r="E10" s="18"/>
      <c r="F10" s="17" t="s">
        <v>23</v>
      </c>
      <c r="G10" s="17"/>
      <c r="H10" s="18"/>
      <c r="I10" s="19"/>
      <c r="J10" s="19"/>
      <c r="K10" s="4">
        <f t="shared" si="2"/>
        <v>2.0628764969154414</v>
      </c>
      <c r="L10" s="4">
        <f t="shared" si="3"/>
        <v>0.50173611111111072</v>
      </c>
      <c r="M10" s="4">
        <f t="shared" si="4"/>
        <v>1.0929799968129061</v>
      </c>
      <c r="N10" s="4">
        <f t="shared" si="5"/>
        <v>0.11365225633200433</v>
      </c>
    </row>
    <row r="11" spans="1:14" ht="15.6" x14ac:dyDescent="0.35">
      <c r="A11" s="1">
        <v>4.0999999999999996</v>
      </c>
      <c r="B11" s="1">
        <v>3.4</v>
      </c>
      <c r="C11" s="1">
        <f t="shared" si="0"/>
        <v>13.939999999999998</v>
      </c>
      <c r="D11" s="1">
        <f t="shared" si="1"/>
        <v>16.809999999999999</v>
      </c>
      <c r="E11" s="18"/>
      <c r="F11" s="8" t="s">
        <v>24</v>
      </c>
      <c r="G11" s="4">
        <v>0.05</v>
      </c>
      <c r="H11" s="9" t="s">
        <v>25</v>
      </c>
      <c r="I11" s="9">
        <f>FINV(G11,$J$3-1,$J$2-$J$3)</f>
        <v>4.9646027437307128</v>
      </c>
      <c r="J11" s="19"/>
      <c r="K11" s="4">
        <f t="shared" si="2"/>
        <v>3.4440304826418298</v>
      </c>
      <c r="L11" s="4">
        <f t="shared" si="3"/>
        <v>8.5069444444444614E-2</v>
      </c>
      <c r="M11" s="4">
        <f t="shared" si="4"/>
        <v>0.1126925760538512</v>
      </c>
      <c r="N11" s="4">
        <f t="shared" si="5"/>
        <v>1.9386834016724796E-3</v>
      </c>
    </row>
    <row r="12" spans="1:14" ht="15.6" x14ac:dyDescent="0.35">
      <c r="A12" s="1">
        <v>5</v>
      </c>
      <c r="B12" s="1">
        <v>4.4000000000000004</v>
      </c>
      <c r="C12" s="1">
        <f t="shared" si="0"/>
        <v>22</v>
      </c>
      <c r="D12" s="1">
        <f t="shared" si="1"/>
        <v>25</v>
      </c>
      <c r="E12" s="19"/>
      <c r="F12" s="8" t="s">
        <v>26</v>
      </c>
      <c r="G12" s="4">
        <v>0.01</v>
      </c>
      <c r="H12" s="9" t="s">
        <v>27</v>
      </c>
      <c r="I12" s="9">
        <f t="shared" ref="I12:I13" si="6">FINV(G12,$J$3-1,$J$2-$J$3)</f>
        <v>10.044289273396597</v>
      </c>
      <c r="J12" s="19"/>
      <c r="K12" s="4">
        <f t="shared" si="2"/>
        <v>4.4798959719366227</v>
      </c>
      <c r="L12" s="4">
        <f t="shared" si="3"/>
        <v>1.6684027777777797</v>
      </c>
      <c r="M12" s="4">
        <f t="shared" si="4"/>
        <v>1.8811840716124184</v>
      </c>
      <c r="N12" s="4">
        <f t="shared" si="5"/>
        <v>6.383366331697545E-3</v>
      </c>
    </row>
    <row r="13" spans="1:14" ht="15.6" x14ac:dyDescent="0.35">
      <c r="A13" s="1">
        <v>3.8</v>
      </c>
      <c r="B13" s="1">
        <v>2.9</v>
      </c>
      <c r="C13" s="1">
        <f t="shared" si="0"/>
        <v>11.02</v>
      </c>
      <c r="D13" s="1">
        <f t="shared" si="1"/>
        <v>14.44</v>
      </c>
      <c r="E13" s="19"/>
      <c r="F13" s="8" t="s">
        <v>28</v>
      </c>
      <c r="G13" s="4">
        <v>1E-3</v>
      </c>
      <c r="H13" s="9" t="s">
        <v>29</v>
      </c>
      <c r="I13" s="9">
        <f t="shared" si="6"/>
        <v>21.039595271003961</v>
      </c>
      <c r="J13" s="19"/>
      <c r="K13" s="4">
        <f t="shared" si="2"/>
        <v>3.0987419862102326</v>
      </c>
      <c r="L13" s="4">
        <f>(B13-$B$15)^2</f>
        <v>4.3402777777777651E-2</v>
      </c>
      <c r="M13" s="4">
        <f t="shared" si="4"/>
        <v>9.1993939635806146E-5</v>
      </c>
      <c r="N13" s="4">
        <f>(K13-B13)^2</f>
        <v>3.9498377082788305E-2</v>
      </c>
    </row>
    <row r="14" spans="1:14" ht="15.6" x14ac:dyDescent="0.35">
      <c r="A14" s="1" t="s">
        <v>30</v>
      </c>
      <c r="B14" s="1" t="s">
        <v>31</v>
      </c>
      <c r="C14" s="1" t="s">
        <v>32</v>
      </c>
      <c r="D14" s="1" t="s">
        <v>33</v>
      </c>
      <c r="E14" s="19"/>
      <c r="F14" s="19"/>
      <c r="G14" s="18"/>
      <c r="H14" s="18"/>
      <c r="I14" s="19"/>
      <c r="J14" s="18"/>
      <c r="K14" s="1" t="s">
        <v>34</v>
      </c>
      <c r="L14" s="1" t="s">
        <v>35</v>
      </c>
      <c r="M14" s="1" t="s">
        <v>36</v>
      </c>
      <c r="N14" s="1" t="s">
        <v>37</v>
      </c>
    </row>
    <row r="15" spans="1:14" x14ac:dyDescent="0.3">
      <c r="A15" s="4">
        <f>AVERAGE(A2:A13)</f>
        <v>3.8083333333333336</v>
      </c>
      <c r="B15" s="4">
        <f>AVERAGE(B2:B13)</f>
        <v>3.1083333333333329</v>
      </c>
      <c r="C15" s="10">
        <f>AVERAGE(C2:C13)</f>
        <v>12.498333333333333</v>
      </c>
      <c r="D15" s="1">
        <f>AVERAGE(D2:D13)</f>
        <v>15.077499999999999</v>
      </c>
      <c r="E15" s="19"/>
      <c r="F15" s="19"/>
      <c r="G15" s="18"/>
      <c r="H15" s="18"/>
      <c r="I15" s="18"/>
      <c r="J15" s="18"/>
      <c r="K15" s="4">
        <f>M15+N15</f>
        <v>9.3891666666667604</v>
      </c>
      <c r="L15" s="4">
        <f>SUM(L2:L13)</f>
        <v>9.389166666666668</v>
      </c>
      <c r="M15" s="4">
        <f>SUM(M2:M13)</f>
        <v>9.1261667876296251</v>
      </c>
      <c r="N15" s="4">
        <f>SUM(N2:N13)</f>
        <v>0.2629998790371354</v>
      </c>
    </row>
    <row r="16" spans="1:14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 x14ac:dyDescent="0.3">
      <c r="A17" s="24" t="s">
        <v>5</v>
      </c>
      <c r="B17" s="24"/>
      <c r="C17" s="18"/>
      <c r="D17" s="18"/>
      <c r="E17" s="11"/>
      <c r="F17" s="19"/>
      <c r="G17" s="18"/>
      <c r="H17" s="18"/>
      <c r="I17" s="23"/>
      <c r="J17" s="23"/>
      <c r="K17" s="18"/>
      <c r="L17" s="18"/>
      <c r="M17" s="18"/>
      <c r="N17" s="18"/>
    </row>
    <row r="18" spans="1:14" ht="14.4" customHeight="1" x14ac:dyDescent="0.3">
      <c r="A18" s="24" t="s">
        <v>49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18"/>
    </row>
    <row r="19" spans="1:14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8"/>
    </row>
    <row r="20" spans="1:14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8"/>
    </row>
    <row r="21" spans="1:14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8"/>
    </row>
    <row r="22" spans="1:14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8"/>
    </row>
    <row r="23" spans="1:14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18"/>
    </row>
    <row r="24" spans="1:14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8"/>
    </row>
  </sheetData>
  <mergeCells count="3">
    <mergeCell ref="A17:B17"/>
    <mergeCell ref="I17:J17"/>
    <mergeCell ref="A18:M2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35D7-3F49-412D-B242-92A051BE5742}">
  <dimension ref="A1:H10"/>
  <sheetViews>
    <sheetView workbookViewId="0">
      <selection activeCell="M27" sqref="M27"/>
    </sheetView>
  </sheetViews>
  <sheetFormatPr defaultRowHeight="14.4" x14ac:dyDescent="0.3"/>
  <cols>
    <col min="8" max="8" width="26.44140625" customWidth="1"/>
  </cols>
  <sheetData>
    <row r="1" spans="1:8" ht="18" x14ac:dyDescent="0.35">
      <c r="A1" s="20" t="s">
        <v>50</v>
      </c>
      <c r="B1" s="21"/>
      <c r="C1" s="21"/>
      <c r="D1" s="21"/>
      <c r="E1" s="21"/>
      <c r="F1" s="21"/>
      <c r="G1" s="21"/>
      <c r="H1" s="21"/>
    </row>
    <row r="2" spans="1:8" x14ac:dyDescent="0.3">
      <c r="A2" s="21" t="s">
        <v>51</v>
      </c>
      <c r="B2" s="21"/>
      <c r="C2" s="21"/>
      <c r="D2" s="21"/>
      <c r="E2" s="21"/>
      <c r="F2" s="21"/>
      <c r="G2" s="21"/>
      <c r="H2" s="21"/>
    </row>
    <row r="3" spans="1:8" x14ac:dyDescent="0.3">
      <c r="A3" s="22" t="s">
        <v>52</v>
      </c>
      <c r="B3" s="21"/>
      <c r="C3" s="21"/>
      <c r="D3" s="21"/>
      <c r="E3" s="21"/>
      <c r="F3" s="21"/>
      <c r="G3" s="21"/>
      <c r="H3" s="21"/>
    </row>
    <row r="4" spans="1:8" x14ac:dyDescent="0.3">
      <c r="A4" s="21"/>
      <c r="B4" s="21"/>
      <c r="C4" s="21"/>
      <c r="D4" s="21"/>
      <c r="E4" s="21"/>
      <c r="F4" s="21"/>
      <c r="G4" s="21"/>
      <c r="H4" s="21"/>
    </row>
    <row r="5" spans="1:8" x14ac:dyDescent="0.3">
      <c r="A5" s="21"/>
      <c r="B5" s="21"/>
      <c r="C5" s="21"/>
      <c r="D5" s="21"/>
      <c r="E5" s="21"/>
      <c r="F5" s="21"/>
      <c r="G5" s="21"/>
      <c r="H5" s="21"/>
    </row>
    <row r="6" spans="1:8" x14ac:dyDescent="0.3">
      <c r="A6" s="21"/>
      <c r="B6" s="21"/>
      <c r="C6" s="21"/>
      <c r="D6" s="21"/>
      <c r="E6" s="21"/>
      <c r="F6" s="21"/>
      <c r="G6" s="21"/>
      <c r="H6" s="21"/>
    </row>
    <row r="7" spans="1:8" x14ac:dyDescent="0.3">
      <c r="A7" s="21"/>
      <c r="B7" s="21"/>
      <c r="C7" s="21"/>
      <c r="D7" s="21"/>
      <c r="E7" s="21"/>
      <c r="F7" s="21"/>
      <c r="G7" s="21"/>
      <c r="H7" s="21"/>
    </row>
    <row r="8" spans="1:8" x14ac:dyDescent="0.3">
      <c r="A8" s="21"/>
      <c r="B8" s="21"/>
      <c r="C8" s="21"/>
      <c r="D8" s="21"/>
      <c r="E8" s="21"/>
      <c r="F8" s="21"/>
      <c r="G8" s="21"/>
      <c r="H8" s="21"/>
    </row>
    <row r="9" spans="1:8" x14ac:dyDescent="0.3">
      <c r="A9" s="21"/>
      <c r="B9" s="21"/>
      <c r="C9" s="21"/>
      <c r="D9" s="21"/>
      <c r="E9" s="21"/>
      <c r="F9" s="21"/>
      <c r="G9" s="21"/>
      <c r="H9" s="21"/>
    </row>
    <row r="10" spans="1:8" x14ac:dyDescent="0.3">
      <c r="A10" s="21"/>
      <c r="B10" s="21"/>
      <c r="C10" s="21"/>
      <c r="D10" s="21"/>
      <c r="E10" s="21"/>
      <c r="F10" s="21"/>
      <c r="G10" s="21"/>
      <c r="H10" s="21"/>
    </row>
  </sheetData>
  <mergeCells count="3">
    <mergeCell ref="A1:H1"/>
    <mergeCell ref="A2:H2"/>
    <mergeCell ref="A3:H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3F8F-303B-4DEB-B6D0-EA76ADFD1E67}">
  <dimension ref="A1:H21"/>
  <sheetViews>
    <sheetView tabSelected="1" workbookViewId="0">
      <selection activeCell="M12" sqref="M12"/>
    </sheetView>
  </sheetViews>
  <sheetFormatPr defaultRowHeight="14.4" x14ac:dyDescent="0.3"/>
  <sheetData>
    <row r="1" spans="1:8" x14ac:dyDescent="0.3">
      <c r="A1" s="1" t="s">
        <v>39</v>
      </c>
      <c r="B1" s="1">
        <v>10</v>
      </c>
      <c r="C1" s="1">
        <v>12</v>
      </c>
      <c r="D1" s="1">
        <v>13</v>
      </c>
      <c r="E1" s="1">
        <v>14</v>
      </c>
      <c r="F1" s="1">
        <v>15</v>
      </c>
      <c r="G1" s="1">
        <v>16</v>
      </c>
      <c r="H1" s="18"/>
    </row>
    <row r="2" spans="1:8" x14ac:dyDescent="0.3">
      <c r="A2" s="12" t="s">
        <v>40</v>
      </c>
      <c r="B2" s="1">
        <f>(A6*B6+A7*B7+A8*B8+A9*B9+A10*B10)/B11</f>
        <v>5</v>
      </c>
      <c r="C2" s="1">
        <f>(A6*C6+A7*C7+A8*C8+A9*C9+A10*C10)/C11</f>
        <v>8.75</v>
      </c>
      <c r="D2" s="1">
        <f>(A6*D6+A7*D7+A8*D8+A9*D9+A10*D10)/D11</f>
        <v>15</v>
      </c>
      <c r="E2" s="1">
        <f>(A6*E6+A7*E7+A8*E8+A9*E9+A10*E10)/E11</f>
        <v>16.53846153846154</v>
      </c>
      <c r="F2" s="1">
        <f>(A6*F6+A7*F7+A8*F8+A9*F9+A10*F10)/F11</f>
        <v>20.555555555555557</v>
      </c>
      <c r="G2" s="1">
        <f>(A6*G6+A7*G7+A8*G8+A9*G9+A10*G10)/G11</f>
        <v>25</v>
      </c>
      <c r="H2" s="18"/>
    </row>
    <row r="3" spans="1:8" x14ac:dyDescent="0.3">
      <c r="A3" s="1" t="s">
        <v>41</v>
      </c>
      <c r="B3" s="1">
        <f>SUM(B6)</f>
        <v>4</v>
      </c>
      <c r="C3" s="1">
        <f>SUM(C6,C7)</f>
        <v>8</v>
      </c>
      <c r="D3" s="1">
        <f>SUM(D7,D8,D9)</f>
        <v>9</v>
      </c>
      <c r="E3" s="1">
        <f>SUM(E8,E9,E10)</f>
        <v>52</v>
      </c>
      <c r="F3" s="1">
        <f>SUM(F8,F9,F10)</f>
        <v>18</v>
      </c>
      <c r="G3" s="1">
        <f>SUM(G10)</f>
        <v>8</v>
      </c>
      <c r="H3" s="18"/>
    </row>
    <row r="4" spans="1:8" ht="15" thickBot="1" x14ac:dyDescent="0.35">
      <c r="A4" s="18"/>
      <c r="B4" s="18"/>
      <c r="C4" s="18"/>
      <c r="D4" s="18"/>
      <c r="E4" s="18"/>
      <c r="F4" s="18"/>
      <c r="G4" s="18"/>
      <c r="H4" s="18"/>
    </row>
    <row r="5" spans="1:8" x14ac:dyDescent="0.3">
      <c r="A5" s="27"/>
      <c r="B5" s="28">
        <v>10</v>
      </c>
      <c r="C5" s="28">
        <v>20</v>
      </c>
      <c r="D5" s="28">
        <v>30</v>
      </c>
      <c r="E5" s="28">
        <v>40</v>
      </c>
      <c r="F5" s="28">
        <v>50</v>
      </c>
      <c r="G5" s="29">
        <v>60</v>
      </c>
      <c r="H5" s="18"/>
    </row>
    <row r="6" spans="1:8" x14ac:dyDescent="0.3">
      <c r="A6" s="30">
        <v>5</v>
      </c>
      <c r="B6" s="1">
        <v>4</v>
      </c>
      <c r="C6" s="1">
        <v>2</v>
      </c>
      <c r="D6" s="1"/>
      <c r="E6" s="1"/>
      <c r="F6" s="1"/>
      <c r="G6" s="31"/>
      <c r="H6" s="18"/>
    </row>
    <row r="7" spans="1:8" x14ac:dyDescent="0.3">
      <c r="A7" s="30">
        <v>10</v>
      </c>
      <c r="B7" s="1"/>
      <c r="C7" s="1">
        <v>6</v>
      </c>
      <c r="D7" s="1">
        <v>2</v>
      </c>
      <c r="E7" s="1"/>
      <c r="F7" s="1"/>
      <c r="G7" s="31"/>
      <c r="H7" s="18"/>
    </row>
    <row r="8" spans="1:8" x14ac:dyDescent="0.3">
      <c r="A8" s="30">
        <v>15</v>
      </c>
      <c r="B8" s="1"/>
      <c r="C8" s="1"/>
      <c r="D8" s="1">
        <v>5</v>
      </c>
      <c r="E8" s="1">
        <v>40</v>
      </c>
      <c r="F8" s="1">
        <v>5</v>
      </c>
      <c r="G8" s="31"/>
      <c r="H8" s="18"/>
    </row>
    <row r="9" spans="1:8" x14ac:dyDescent="0.3">
      <c r="A9" s="30">
        <v>20</v>
      </c>
      <c r="B9" s="1"/>
      <c r="C9" s="1"/>
      <c r="D9" s="1">
        <v>2</v>
      </c>
      <c r="E9" s="1">
        <v>8</v>
      </c>
      <c r="F9" s="1">
        <v>6</v>
      </c>
      <c r="G9" s="31"/>
      <c r="H9" s="18"/>
    </row>
    <row r="10" spans="1:8" ht="15" thickBot="1" x14ac:dyDescent="0.35">
      <c r="A10" s="32">
        <v>25</v>
      </c>
      <c r="B10" s="33"/>
      <c r="C10" s="33"/>
      <c r="D10" s="33"/>
      <c r="E10" s="33">
        <v>4</v>
      </c>
      <c r="F10" s="33">
        <v>7</v>
      </c>
      <c r="G10" s="34">
        <v>8</v>
      </c>
      <c r="H10" s="18"/>
    </row>
    <row r="11" spans="1:8" x14ac:dyDescent="0.3">
      <c r="A11" s="25" t="s">
        <v>42</v>
      </c>
      <c r="B11" s="26">
        <f>SUM(B6)</f>
        <v>4</v>
      </c>
      <c r="C11" s="26">
        <f>SUM(C6,C7)</f>
        <v>8</v>
      </c>
      <c r="D11" s="26">
        <f>SUM(D7,D8,D9)</f>
        <v>9</v>
      </c>
      <c r="E11" s="26">
        <f>SUM(E8,E9,E10)</f>
        <v>52</v>
      </c>
      <c r="F11" s="26">
        <f>SUM(F8,F9,F10)</f>
        <v>18</v>
      </c>
      <c r="G11" s="26">
        <f>SUM(G10)</f>
        <v>8</v>
      </c>
      <c r="H11" s="18"/>
    </row>
    <row r="12" spans="1:8" x14ac:dyDescent="0.3">
      <c r="A12" s="1" t="s">
        <v>43</v>
      </c>
      <c r="B12" s="1">
        <f>(A6*B6+A7*B7+A8*B8+A9*B9+A10*B10)/B11</f>
        <v>5</v>
      </c>
      <c r="C12" s="1">
        <f>(A6*C6+A7*C7+A8*C8+A9*C9+A10*C10)/C11</f>
        <v>8.75</v>
      </c>
      <c r="D12" s="1">
        <f>(A6*D6+A7*D7+A8*D8+A9*D9+A10*D10)/D11</f>
        <v>15</v>
      </c>
      <c r="E12" s="1">
        <f>(A6*E6+A7*E7+A8*E8+A9*E9+A10*E10)/E11</f>
        <v>16.53846153846154</v>
      </c>
      <c r="F12" s="1">
        <f>(A6*F6+A7*F7+A8*F8+A9*F9+A10*F10)/F11</f>
        <v>20.555555555555557</v>
      </c>
      <c r="G12" s="1">
        <f>(A6*G6+A7*G7+A8*G8+A9*G9+A10*G10)/G11</f>
        <v>25</v>
      </c>
      <c r="H12" s="18"/>
    </row>
    <row r="13" spans="1:8" x14ac:dyDescent="0.3">
      <c r="A13" s="18"/>
      <c r="B13" s="18"/>
      <c r="C13" s="18"/>
      <c r="D13" s="18"/>
      <c r="E13" s="18"/>
      <c r="F13" s="18"/>
      <c r="G13" s="18"/>
      <c r="H13" s="18"/>
    </row>
    <row r="14" spans="1:8" x14ac:dyDescent="0.3">
      <c r="A14" s="18"/>
      <c r="B14" s="18"/>
      <c r="C14" s="18"/>
      <c r="D14" s="18"/>
      <c r="E14" s="18"/>
      <c r="F14" s="18"/>
      <c r="G14" s="18"/>
      <c r="H14" s="18"/>
    </row>
    <row r="15" spans="1:8" x14ac:dyDescent="0.3">
      <c r="A15" s="18"/>
      <c r="B15" s="18"/>
      <c r="C15" s="18"/>
      <c r="D15" s="18"/>
      <c r="E15" s="18"/>
      <c r="F15" s="18"/>
      <c r="G15" s="18"/>
      <c r="H15" s="18"/>
    </row>
    <row r="16" spans="1:8" x14ac:dyDescent="0.3">
      <c r="A16" s="24" t="s">
        <v>44</v>
      </c>
      <c r="B16" s="24"/>
      <c r="C16" s="24"/>
      <c r="D16" s="24"/>
      <c r="E16" s="24"/>
      <c r="F16" s="24"/>
      <c r="G16" s="24"/>
      <c r="H16" s="24"/>
    </row>
    <row r="17" spans="1:8" x14ac:dyDescent="0.3">
      <c r="A17" s="24"/>
      <c r="B17" s="24"/>
      <c r="C17" s="24"/>
      <c r="D17" s="24"/>
      <c r="E17" s="24"/>
      <c r="F17" s="24"/>
      <c r="G17" s="24"/>
      <c r="H17" s="24"/>
    </row>
    <row r="18" spans="1:8" x14ac:dyDescent="0.3">
      <c r="A18" s="24"/>
      <c r="B18" s="24"/>
      <c r="C18" s="24"/>
      <c r="D18" s="24"/>
      <c r="E18" s="24"/>
      <c r="F18" s="24"/>
      <c r="G18" s="24"/>
      <c r="H18" s="24"/>
    </row>
    <row r="19" spans="1:8" x14ac:dyDescent="0.3">
      <c r="A19" s="24"/>
      <c r="B19" s="24"/>
      <c r="C19" s="24"/>
      <c r="D19" s="24"/>
      <c r="E19" s="24"/>
      <c r="F19" s="24"/>
      <c r="G19" s="24"/>
      <c r="H19" s="24"/>
    </row>
    <row r="20" spans="1:8" x14ac:dyDescent="0.3">
      <c r="A20" s="24"/>
      <c r="B20" s="24"/>
      <c r="C20" s="24"/>
      <c r="D20" s="24"/>
      <c r="E20" s="24"/>
      <c r="F20" s="24"/>
      <c r="G20" s="24"/>
      <c r="H20" s="24"/>
    </row>
    <row r="21" spans="1:8" x14ac:dyDescent="0.3">
      <c r="A21" s="24"/>
      <c r="B21" s="24"/>
      <c r="C21" s="24"/>
      <c r="D21" s="24"/>
      <c r="E21" s="24"/>
      <c r="F21" s="24"/>
      <c r="G21" s="24"/>
      <c r="H21" s="24"/>
    </row>
  </sheetData>
  <mergeCells count="1">
    <mergeCell ref="A16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8</vt:i4>
      </vt:variant>
    </vt:vector>
  </HeadingPairs>
  <TitlesOfParts>
    <vt:vector size="8" baseType="lpstr">
      <vt:lpstr>Кол-умова1</vt:lpstr>
      <vt:lpstr>Кол-розв1</vt:lpstr>
      <vt:lpstr>Кол-умова2</vt:lpstr>
      <vt:lpstr>Кол-розв2</vt:lpstr>
      <vt:lpstr>Інд-теорія1</vt:lpstr>
      <vt:lpstr>Інд-розв1</vt:lpstr>
      <vt:lpstr>Інд-умова2</vt:lpstr>
      <vt:lpstr>Інд-розв2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 Горецький</cp:lastModifiedBy>
  <dcterms:created xsi:type="dcterms:W3CDTF">2025-06-13T16:45:52Z</dcterms:created>
  <dcterms:modified xsi:type="dcterms:W3CDTF">2025-06-13T18:08:41Z</dcterms:modified>
</cp:coreProperties>
</file>