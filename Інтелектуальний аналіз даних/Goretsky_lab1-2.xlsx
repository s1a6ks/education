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education\Інтелектуальний аналіз даних\"/>
    </mc:Choice>
  </mc:AlternateContent>
  <xr:revisionPtr revIDLastSave="0" documentId="13_ncr:1_{E2F3CA54-0CBD-42A6-A944-0E350E72C718}" xr6:coauthVersionLast="47" xr6:coauthVersionMax="47" xr10:uidLastSave="{00000000-0000-0000-0000-000000000000}"/>
  <bookViews>
    <workbookView xWindow="1815" yWindow="1815" windowWidth="21600" windowHeight="11385" firstSheet="1" activeTab="1" xr2:uid="{00000000-000D-0000-FFFF-FFFF00000000}"/>
  </bookViews>
  <sheets>
    <sheet name="Постановка задачі 1" sheetId="3" r:id="rId1"/>
    <sheet name="приклад" sheetId="5" r:id="rId2"/>
    <sheet name="Завдання 1" sheetId="2" r:id="rId3"/>
    <sheet name="Постановка задачі 2" sheetId="4" r:id="rId4"/>
    <sheet name="Завдання 2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5" l="1"/>
  <c r="G1" i="1"/>
  <c r="D23" i="5"/>
  <c r="D1" i="1"/>
  <c r="F28" i="5"/>
  <c r="F29" i="5"/>
  <c r="F27" i="5"/>
  <c r="F5" i="1"/>
  <c r="G21" i="5"/>
  <c r="F21" i="5"/>
  <c r="E21" i="5"/>
  <c r="E10" i="1"/>
  <c r="G9" i="5"/>
  <c r="G10" i="5"/>
  <c r="G11" i="5"/>
  <c r="G12" i="5"/>
  <c r="G13" i="5"/>
  <c r="G14" i="5"/>
  <c r="G15" i="5"/>
  <c r="G16" i="5"/>
  <c r="G17" i="5"/>
  <c r="G18" i="5"/>
  <c r="G19" i="5"/>
  <c r="G8" i="5"/>
  <c r="F14" i="5"/>
  <c r="F15" i="5"/>
  <c r="F16" i="5"/>
  <c r="F17" i="5"/>
  <c r="F18" i="5"/>
  <c r="F19" i="5"/>
  <c r="F9" i="5"/>
  <c r="F10" i="5"/>
  <c r="F11" i="5"/>
  <c r="F12" i="5"/>
  <c r="F13" i="5"/>
  <c r="F8" i="5"/>
  <c r="C9" i="5"/>
  <c r="C10" i="5"/>
  <c r="C11" i="5"/>
  <c r="C12" i="5"/>
  <c r="C13" i="5"/>
  <c r="C14" i="5"/>
  <c r="C15" i="5"/>
  <c r="C16" i="5"/>
  <c r="C17" i="5"/>
  <c r="C18" i="5"/>
  <c r="C19" i="5"/>
  <c r="C8" i="5"/>
  <c r="C15" i="1"/>
  <c r="C14" i="1"/>
  <c r="B21" i="5"/>
  <c r="D8" i="5" s="1"/>
  <c r="A21" i="5"/>
  <c r="A10" i="1"/>
  <c r="F6" i="1"/>
  <c r="F7" i="1"/>
  <c r="G14" i="1"/>
  <c r="D14" i="1"/>
  <c r="D18" i="1"/>
  <c r="G18" i="1" s="1"/>
  <c r="D19" i="1"/>
  <c r="G19" i="1" s="1"/>
  <c r="D20" i="1"/>
  <c r="G20" i="1" s="1"/>
  <c r="D13" i="1"/>
  <c r="G13" i="1" s="1"/>
  <c r="B10" i="1"/>
  <c r="D15" i="1" s="1"/>
  <c r="G15" i="1" s="1"/>
  <c r="D12" i="5" l="1"/>
  <c r="E12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1" i="5"/>
  <c r="E11" i="5" s="1"/>
  <c r="D10" i="5"/>
  <c r="E10" i="5" s="1"/>
  <c r="D9" i="5"/>
  <c r="E9" i="5" s="1"/>
  <c r="E8" i="5"/>
  <c r="C16" i="1"/>
  <c r="F16" i="1" s="1"/>
  <c r="E14" i="1"/>
  <c r="C19" i="1"/>
  <c r="C18" i="1"/>
  <c r="E18" i="1" s="1"/>
  <c r="C13" i="1"/>
  <c r="C17" i="1"/>
  <c r="E17" i="1" s="1"/>
  <c r="F19" i="1"/>
  <c r="E19" i="1"/>
  <c r="E15" i="1"/>
  <c r="F17" i="1"/>
  <c r="F15" i="1"/>
  <c r="E16" i="1"/>
  <c r="C20" i="1"/>
  <c r="D16" i="1"/>
  <c r="G16" i="1" s="1"/>
  <c r="G10" i="1" s="1"/>
  <c r="F18" i="1"/>
  <c r="D17" i="1"/>
  <c r="G17" i="1" s="1"/>
  <c r="F13" i="1" l="1"/>
  <c r="E13" i="1"/>
  <c r="F14" i="1"/>
  <c r="E20" i="1"/>
  <c r="F20" i="1"/>
  <c r="F10" i="1" s="1"/>
</calcChain>
</file>

<file path=xl/sharedStrings.xml><?xml version="1.0" encoding="utf-8"?>
<sst xmlns="http://schemas.openxmlformats.org/spreadsheetml/2006/main" count="101" uniqueCount="45">
  <si>
    <t>Коеф-т кореляції Rxy =</t>
  </si>
  <si>
    <t>Значущість к-та кореляції</t>
  </si>
  <si>
    <t>T=</t>
  </si>
  <si>
    <t>Надійність</t>
  </si>
  <si>
    <t>Значущість</t>
  </si>
  <si>
    <t>К-т Стьюдента</t>
  </si>
  <si>
    <t>y1=</t>
  </si>
  <si>
    <t>a1</t>
  </si>
  <si>
    <t>tкрит1=</t>
  </si>
  <si>
    <t>tкрит3=</t>
  </si>
  <si>
    <t>tкрит2=</t>
  </si>
  <si>
    <t>a2</t>
  </si>
  <si>
    <t>a3</t>
  </si>
  <si>
    <t>Xc</t>
  </si>
  <si>
    <t>Yc</t>
  </si>
  <si>
    <t>X</t>
  </si>
  <si>
    <t>Y</t>
  </si>
  <si>
    <t>DX=Xi-Xc</t>
  </si>
  <si>
    <t>DY=Yi-Yc</t>
  </si>
  <si>
    <t>DX*DY</t>
  </si>
  <si>
    <t>DX*DX</t>
  </si>
  <si>
    <t>DY*DY</t>
  </si>
  <si>
    <t>Сума</t>
  </si>
  <si>
    <t>y2=</t>
  </si>
  <si>
    <t>y3=</t>
  </si>
  <si>
    <t>Продумати і запропонувати, як побудувати робочий аркуш (модифікувати створений у колективному завданні 1), щоб можна було працювати з вибірками довільного розміру. Як потрібно змінити формули робочого аркуша?</t>
  </si>
  <si>
    <t>На основі даних, наведених у таблиці (залежність між факторною (х) та результативною (у) ознаками), встановити наявність кореляційного зв’язку, оцінити тісноту зв’язку (двома способами). Результати виконання завдання та висновок занести до звіту.</t>
  </si>
  <si>
    <r>
      <t xml:space="preserve">У своєму рішенні я перемістив значення </t>
    </r>
    <r>
      <rPr>
        <b/>
        <sz val="12"/>
        <color theme="1"/>
        <rFont val="Calibri"/>
        <family val="2"/>
        <scheme val="minor"/>
      </rPr>
      <t>x</t>
    </r>
    <r>
      <rPr>
        <sz val="12"/>
        <color theme="1"/>
        <rFont val="Calibri"/>
        <family val="2"/>
        <scheme val="minor"/>
      </rPr>
      <t xml:space="preserve"> та </t>
    </r>
    <r>
      <rPr>
        <b/>
        <sz val="12"/>
        <color theme="1"/>
        <rFont val="Calibri"/>
        <family val="2"/>
        <scheme val="minor"/>
      </rPr>
      <t>y</t>
    </r>
    <r>
      <rPr>
        <sz val="12"/>
        <color theme="1"/>
        <rFont val="Calibri"/>
        <family val="2"/>
        <scheme val="minor"/>
      </rPr>
      <t>, а також формули для подальших розрахунків із верхньої частини аркуша вниз. Це дозволяє безперешкодно додавати нові елементи до вибірки, не заважаючи вже наявним розрахункам.</t>
    </r>
  </si>
  <si>
    <t>Висновки</t>
  </si>
  <si>
    <t>3. Це означає, що зі збільшенням X значення Y також збільшується відповідно до високого рівня залежності.</t>
  </si>
  <si>
    <r>
      <t xml:space="preserve">На основі розрахованого коефіцієнта кореляції </t>
    </r>
    <r>
      <rPr>
        <sz val="11"/>
        <color theme="1"/>
        <rFont val="Calibri"/>
        <family val="2"/>
        <scheme val="minor"/>
      </rPr>
      <t>Rxy = 0,997497, можна зробити висновок, що між факторною (X) та результативною (Y) ознаками існує дуже сильний лінійний зв’язок.</t>
    </r>
  </si>
  <si>
    <r>
      <t xml:space="preserve">Коефіцієнт кореляції </t>
    </r>
    <r>
      <rPr>
        <sz val="11"/>
        <color theme="1"/>
        <rFont val="Calibri"/>
        <family val="2"/>
        <scheme val="minor"/>
      </rPr>
      <t>Rxy = 0,997497 свідчить про майже функціональну залежність між X та Y. Оскільки значення дуже близьке до 1, зв’язок є сильним та позитивним.</t>
    </r>
  </si>
  <si>
    <r>
      <t xml:space="preserve">Критерій Стьюдента розрахований як </t>
    </r>
    <r>
      <rPr>
        <sz val="11"/>
        <color theme="1"/>
        <rFont val="Calibri"/>
        <family val="2"/>
        <scheme val="minor"/>
      </rPr>
      <t>T = 34,5535, що значно перевищує критичні значення:</t>
    </r>
  </si>
  <si>
    <r>
      <t xml:space="preserve">Для рівня надійності </t>
    </r>
    <r>
      <rPr>
        <sz val="11"/>
        <color theme="1"/>
        <rFont val="Calibri"/>
        <family val="2"/>
        <scheme val="minor"/>
      </rPr>
      <t xml:space="preserve">0,95: </t>
    </r>
    <r>
      <rPr>
        <sz val="10"/>
        <color theme="1"/>
        <rFont val="Arial Unicode MS"/>
      </rPr>
      <t>tкр1 = 0,480873</t>
    </r>
  </si>
  <si>
    <r>
      <t xml:space="preserve">Для рівня надійності </t>
    </r>
    <r>
      <rPr>
        <sz val="11"/>
        <color theme="1"/>
        <rFont val="Calibri"/>
        <family val="2"/>
        <scheme val="minor"/>
      </rPr>
      <t xml:space="preserve">0,99: </t>
    </r>
    <r>
      <rPr>
        <sz val="10"/>
        <color theme="1"/>
        <rFont val="Arial Unicode MS"/>
      </rPr>
      <t>tкр2 = 0,496173</t>
    </r>
  </si>
  <si>
    <r>
      <t xml:space="preserve">Для рівня надійності </t>
    </r>
    <r>
      <rPr>
        <sz val="11"/>
        <color theme="1"/>
        <rFont val="Calibri"/>
        <family val="2"/>
        <scheme val="minor"/>
      </rPr>
      <t xml:space="preserve">0,999: </t>
    </r>
    <r>
      <rPr>
        <sz val="10"/>
        <color theme="1"/>
        <rFont val="Arial Unicode MS"/>
      </rPr>
      <t>tкр3 = 0,499617</t>
    </r>
  </si>
  <si>
    <r>
      <t xml:space="preserve">Оскільки </t>
    </r>
    <r>
      <rPr>
        <sz val="11"/>
        <color theme="1"/>
        <rFont val="Calibri"/>
        <family val="2"/>
        <scheme val="minor"/>
      </rPr>
      <t>T &gt; tкр для всіх рівнів значущості, можна зробити висновок, що кореляційний зв’язок є статистично значущим.</t>
    </r>
  </si>
  <si>
    <r>
      <t xml:space="preserve">1. Коефіцієнт кореляції </t>
    </r>
    <r>
      <rPr>
        <sz val="11"/>
        <color theme="1"/>
        <rFont val="Calibri"/>
        <family val="2"/>
        <scheme val="minor"/>
      </rPr>
      <t>Rxy = 0,997497 показує сильний позитивний зв’язок між факторами X та Y.</t>
    </r>
  </si>
  <si>
    <r>
      <t xml:space="preserve">2. Критерій Стьюдента підтверджує </t>
    </r>
    <r>
      <rPr>
        <sz val="11"/>
        <color theme="1"/>
        <rFont val="Calibri"/>
        <family val="2"/>
        <scheme val="minor"/>
      </rPr>
      <t>статистичну значущість цього зв’язку.</t>
    </r>
  </si>
  <si>
    <r>
      <t xml:space="preserve">Таким чином, можна зробити висновок, що між факторною та результативною ознаками існує </t>
    </r>
    <r>
      <rPr>
        <sz val="11"/>
        <color theme="1"/>
        <rFont val="Calibri"/>
        <family val="2"/>
        <scheme val="minor"/>
      </rPr>
      <t>стійка та значуща кореляція.</t>
    </r>
  </si>
  <si>
    <r>
      <rPr>
        <b/>
        <sz val="10"/>
        <color theme="1"/>
        <rFont val="Calibri"/>
        <family val="2"/>
        <charset val="204"/>
        <scheme val="minor"/>
      </rPr>
      <t xml:space="preserve">Метод 1: </t>
    </r>
    <r>
      <rPr>
        <sz val="10"/>
        <color theme="1"/>
        <rFont val="Calibri"/>
        <family val="2"/>
        <charset val="204"/>
        <scheme val="minor"/>
      </rPr>
      <t>Коефіцієнт кореляції Пірсона</t>
    </r>
  </si>
  <si>
    <r>
      <rPr>
        <b/>
        <sz val="11"/>
        <color theme="1"/>
        <rFont val="Calibri"/>
        <family val="2"/>
        <charset val="204"/>
        <scheme val="minor"/>
      </rPr>
      <t>Метод 2:</t>
    </r>
    <r>
      <rPr>
        <sz val="11"/>
        <color theme="1"/>
        <rFont val="Calibri"/>
        <family val="2"/>
        <charset val="204"/>
        <scheme val="minor"/>
      </rPr>
      <t xml:space="preserve"> Перевірка значущості кореляції через критерій Стьюдента</t>
    </r>
  </si>
  <si>
    <t>Завдання 1. Постановка задачі: для виявлення зв’язку між ознаками у та х проведено серію експериментів і отримано такі результати: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</si>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</sst>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6E6F-2E7D-45B7-8BDC-2BDC2E25A7FD}">
  <dimension ref="A1:V3"/>
  <sheetViews>
    <sheetView workbookViewId="0">
      <selection activeCell="H34" sqref="H34"/>
    </sheetView>
  </sheetViews>
  <sheetFormatPr defaultRowHeight="15"/>
  <cols>
    <col min="1" max="1" width="8.85546875" customWidth="1"/>
    <col min="8" max="8" width="7.7109375" customWidth="1"/>
    <col min="9" max="9" width="0.5703125" hidden="1" customWidth="1"/>
    <col min="10" max="10" width="0.28515625" hidden="1" customWidth="1"/>
    <col min="11" max="13" width="8.85546875" hidden="1" customWidth="1"/>
    <col min="14" max="14" width="5.5703125" hidden="1" customWidth="1"/>
    <col min="15" max="20" width="8.85546875" hidden="1" customWidth="1"/>
    <col min="21" max="21" width="5.140625" hidden="1" customWidth="1"/>
    <col min="22" max="22" width="9.7109375" customWidth="1"/>
    <col min="23" max="23" width="8.85546875" customWidth="1"/>
  </cols>
  <sheetData>
    <row r="1" spans="1:22" ht="84.6" customHeight="1">
      <c r="A1" s="13" t="s">
        <v>25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3" spans="1:22" ht="14.45" customHeight="1"/>
  </sheetData>
  <mergeCells count="1">
    <mergeCell ref="A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5D6A-D245-496D-8698-D5A4B5FB52AA}">
  <dimension ref="A1:N29"/>
  <sheetViews>
    <sheetView tabSelected="1" workbookViewId="0">
      <selection activeCell="K15" sqref="K15:K16"/>
    </sheetView>
  </sheetViews>
  <sheetFormatPr defaultRowHeight="15"/>
  <sheetData>
    <row r="1" spans="1:14">
      <c r="A1" s="31" t="s">
        <v>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</row>
    <row r="2" spans="1:14">
      <c r="A2" s="26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7"/>
    </row>
    <row r="3" spans="1:14">
      <c r="A3" s="26" t="s">
        <v>43</v>
      </c>
      <c r="B3" s="23">
        <v>5</v>
      </c>
      <c r="C3" s="23">
        <v>4</v>
      </c>
      <c r="D3" s="23">
        <v>3</v>
      </c>
      <c r="E3" s="23">
        <v>7</v>
      </c>
      <c r="F3" s="23">
        <v>13</v>
      </c>
      <c r="G3" s="23">
        <v>11</v>
      </c>
      <c r="H3" s="23">
        <v>23</v>
      </c>
      <c r="I3" s="23">
        <v>28</v>
      </c>
      <c r="J3" s="23">
        <v>18</v>
      </c>
      <c r="K3" s="23">
        <v>9</v>
      </c>
      <c r="L3" s="23">
        <v>12</v>
      </c>
      <c r="M3" s="23">
        <v>13</v>
      </c>
      <c r="N3" s="27"/>
    </row>
    <row r="4" spans="1:14" ht="15.75" thickBot="1">
      <c r="A4" s="28" t="s">
        <v>44</v>
      </c>
      <c r="B4" s="29">
        <v>64</v>
      </c>
      <c r="C4" s="29">
        <v>71</v>
      </c>
      <c r="D4" s="29">
        <v>54</v>
      </c>
      <c r="E4" s="29">
        <v>71</v>
      </c>
      <c r="F4" s="29">
        <v>93</v>
      </c>
      <c r="G4" s="29">
        <v>76</v>
      </c>
      <c r="H4" s="29">
        <v>87</v>
      </c>
      <c r="I4" s="29">
        <v>109</v>
      </c>
      <c r="J4" s="29">
        <v>83</v>
      </c>
      <c r="K4" s="29">
        <v>75</v>
      </c>
      <c r="L4" s="29">
        <v>79</v>
      </c>
      <c r="M4" s="29">
        <v>87</v>
      </c>
      <c r="N4" s="30"/>
    </row>
    <row r="7" spans="1:14">
      <c r="A7" t="s">
        <v>15</v>
      </c>
      <c r="B7" t="s">
        <v>16</v>
      </c>
      <c r="C7" s="1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14">
      <c r="A8">
        <v>5</v>
      </c>
      <c r="B8">
        <v>64</v>
      </c>
      <c r="C8">
        <f>A8-$A$10</f>
        <v>2</v>
      </c>
      <c r="D8">
        <f>B8-$B$21</f>
        <v>-15.083333333333329</v>
      </c>
      <c r="E8">
        <f>C8*D8</f>
        <v>-30.166666666666657</v>
      </c>
      <c r="F8">
        <f>C8*C8</f>
        <v>4</v>
      </c>
      <c r="G8">
        <f>D8*D8</f>
        <v>227.50694444444431</v>
      </c>
    </row>
    <row r="9" spans="1:14">
      <c r="A9">
        <v>4</v>
      </c>
      <c r="B9">
        <v>71</v>
      </c>
      <c r="C9">
        <f t="shared" ref="C9:C19" si="0">A9-$A$10</f>
        <v>1</v>
      </c>
      <c r="D9">
        <f t="shared" ref="D9:D19" si="1">B9-$B$21</f>
        <v>-8.0833333333333286</v>
      </c>
      <c r="E9">
        <f t="shared" ref="E9:E19" si="2">C9*D9</f>
        <v>-8.0833333333333286</v>
      </c>
      <c r="F9">
        <f t="shared" ref="F9:F19" si="3">C9*C9</f>
        <v>1</v>
      </c>
      <c r="G9">
        <f t="shared" ref="G9:G19" si="4">D9*D9</f>
        <v>65.3402777777777</v>
      </c>
    </row>
    <row r="10" spans="1:14">
      <c r="A10">
        <v>3</v>
      </c>
      <c r="B10">
        <v>54</v>
      </c>
      <c r="C10">
        <f t="shared" si="0"/>
        <v>0</v>
      </c>
      <c r="D10">
        <f t="shared" si="1"/>
        <v>-25.083333333333329</v>
      </c>
      <c r="E10">
        <f t="shared" si="2"/>
        <v>0</v>
      </c>
      <c r="F10">
        <f t="shared" si="3"/>
        <v>0</v>
      </c>
      <c r="G10">
        <f t="shared" si="4"/>
        <v>629.17361111111086</v>
      </c>
    </row>
    <row r="11" spans="1:14">
      <c r="A11">
        <v>7</v>
      </c>
      <c r="B11">
        <v>71</v>
      </c>
      <c r="C11">
        <f t="shared" si="0"/>
        <v>4</v>
      </c>
      <c r="D11">
        <f t="shared" si="1"/>
        <v>-8.0833333333333286</v>
      </c>
      <c r="E11">
        <f t="shared" si="2"/>
        <v>-32.333333333333314</v>
      </c>
      <c r="F11">
        <f t="shared" si="3"/>
        <v>16</v>
      </c>
      <c r="G11">
        <f t="shared" si="4"/>
        <v>65.3402777777777</v>
      </c>
    </row>
    <row r="12" spans="1:14">
      <c r="A12">
        <v>13</v>
      </c>
      <c r="B12">
        <v>93</v>
      </c>
      <c r="C12">
        <f t="shared" si="0"/>
        <v>10</v>
      </c>
      <c r="D12">
        <f t="shared" si="1"/>
        <v>13.916666666666671</v>
      </c>
      <c r="E12">
        <f t="shared" si="2"/>
        <v>139.16666666666671</v>
      </c>
      <c r="F12">
        <f t="shared" si="3"/>
        <v>100</v>
      </c>
      <c r="G12">
        <f t="shared" si="4"/>
        <v>193.67361111111126</v>
      </c>
    </row>
    <row r="13" spans="1:14">
      <c r="A13">
        <v>11</v>
      </c>
      <c r="B13">
        <v>76</v>
      </c>
      <c r="C13">
        <f t="shared" si="0"/>
        <v>8</v>
      </c>
      <c r="D13">
        <f t="shared" si="1"/>
        <v>-3.0833333333333286</v>
      </c>
      <c r="E13">
        <f t="shared" si="2"/>
        <v>-24.666666666666629</v>
      </c>
      <c r="F13">
        <f t="shared" si="3"/>
        <v>64</v>
      </c>
      <c r="G13">
        <f t="shared" si="4"/>
        <v>9.5069444444444144</v>
      </c>
    </row>
    <row r="14" spans="1:14">
      <c r="A14">
        <v>23</v>
      </c>
      <c r="B14">
        <v>87</v>
      </c>
      <c r="C14">
        <f t="shared" si="0"/>
        <v>20</v>
      </c>
      <c r="D14">
        <f t="shared" si="1"/>
        <v>7.9166666666666714</v>
      </c>
      <c r="E14">
        <f t="shared" si="2"/>
        <v>158.33333333333343</v>
      </c>
      <c r="F14">
        <f>C14*C14</f>
        <v>400</v>
      </c>
      <c r="G14">
        <f t="shared" si="4"/>
        <v>62.673611111111185</v>
      </c>
    </row>
    <row r="15" spans="1:14">
      <c r="A15">
        <v>28</v>
      </c>
      <c r="B15">
        <v>109</v>
      </c>
      <c r="C15">
        <f t="shared" si="0"/>
        <v>25</v>
      </c>
      <c r="D15">
        <f t="shared" si="1"/>
        <v>29.916666666666671</v>
      </c>
      <c r="E15">
        <f t="shared" si="2"/>
        <v>747.91666666666674</v>
      </c>
      <c r="F15">
        <f t="shared" si="3"/>
        <v>625</v>
      </c>
      <c r="G15">
        <f t="shared" si="4"/>
        <v>895.00694444444468</v>
      </c>
    </row>
    <row r="16" spans="1:14">
      <c r="A16">
        <v>18</v>
      </c>
      <c r="B16">
        <v>83</v>
      </c>
      <c r="C16">
        <f t="shared" si="0"/>
        <v>15</v>
      </c>
      <c r="D16">
        <f t="shared" si="1"/>
        <v>3.9166666666666714</v>
      </c>
      <c r="E16">
        <f t="shared" si="2"/>
        <v>58.750000000000071</v>
      </c>
      <c r="F16">
        <f t="shared" si="3"/>
        <v>225</v>
      </c>
      <c r="G16">
        <f t="shared" si="4"/>
        <v>15.340277777777814</v>
      </c>
    </row>
    <row r="17" spans="1:7">
      <c r="A17">
        <v>9</v>
      </c>
      <c r="B17">
        <v>75</v>
      </c>
      <c r="C17">
        <f t="shared" si="0"/>
        <v>6</v>
      </c>
      <c r="D17">
        <f t="shared" si="1"/>
        <v>-4.0833333333333286</v>
      </c>
      <c r="E17">
        <f t="shared" si="2"/>
        <v>-24.499999999999972</v>
      </c>
      <c r="F17">
        <f t="shared" si="3"/>
        <v>36</v>
      </c>
      <c r="G17">
        <f t="shared" si="4"/>
        <v>16.673611111111072</v>
      </c>
    </row>
    <row r="18" spans="1:7">
      <c r="A18">
        <v>12</v>
      </c>
      <c r="B18">
        <v>79</v>
      </c>
      <c r="C18">
        <f t="shared" si="0"/>
        <v>9</v>
      </c>
      <c r="D18">
        <f t="shared" si="1"/>
        <v>-8.3333333333328596E-2</v>
      </c>
      <c r="E18">
        <f t="shared" si="2"/>
        <v>-0.74999999999995737</v>
      </c>
      <c r="F18">
        <f t="shared" si="3"/>
        <v>81</v>
      </c>
      <c r="G18">
        <f t="shared" si="4"/>
        <v>6.9444444444436548E-3</v>
      </c>
    </row>
    <row r="19" spans="1:7">
      <c r="A19">
        <v>13</v>
      </c>
      <c r="B19">
        <v>87</v>
      </c>
      <c r="C19">
        <f t="shared" si="0"/>
        <v>10</v>
      </c>
      <c r="D19">
        <f t="shared" si="1"/>
        <v>7.9166666666666714</v>
      </c>
      <c r="E19">
        <f t="shared" si="2"/>
        <v>79.166666666666714</v>
      </c>
      <c r="F19">
        <f t="shared" si="3"/>
        <v>100</v>
      </c>
      <c r="G19">
        <f t="shared" si="4"/>
        <v>62.673611111111185</v>
      </c>
    </row>
    <row r="20" spans="1:7">
      <c r="A20" t="s">
        <v>13</v>
      </c>
      <c r="B20" t="s">
        <v>14</v>
      </c>
      <c r="E20" t="s">
        <v>22</v>
      </c>
      <c r="F20" t="s">
        <v>22</v>
      </c>
      <c r="G20" t="s">
        <v>22</v>
      </c>
    </row>
    <row r="21" spans="1:7">
      <c r="A21">
        <f>AVERAGE(A8:A19)</f>
        <v>12.166666666666666</v>
      </c>
      <c r="B21">
        <f>AVERAGE(B8:B19)</f>
        <v>79.083333333333329</v>
      </c>
      <c r="E21">
        <f>SUM(E8:E19)</f>
        <v>1062.8333333333337</v>
      </c>
      <c r="F21">
        <f>SUM(F8:F19)</f>
        <v>1652</v>
      </c>
      <c r="G21">
        <f>SUM(G8:G19)</f>
        <v>2242.9166666666661</v>
      </c>
    </row>
    <row r="23" spans="1:7">
      <c r="A23" s="14" t="s">
        <v>0</v>
      </c>
      <c r="B23" s="14"/>
      <c r="C23" s="14"/>
      <c r="D23">
        <f>E21/(SQRT(F21*G21))</f>
        <v>0.55214554965151252</v>
      </c>
      <c r="F23" t="s">
        <v>2</v>
      </c>
      <c r="G23">
        <f>SQRT(D23^2*(COUNT(A8:A19)-2)/(1-D23^2))</f>
        <v>2.0942036248035256</v>
      </c>
    </row>
    <row r="25" spans="1:7">
      <c r="A25" s="14" t="s">
        <v>1</v>
      </c>
      <c r="B25" s="14"/>
      <c r="C25" s="14"/>
    </row>
    <row r="26" spans="1:7">
      <c r="A26" t="s">
        <v>3</v>
      </c>
      <c r="C26" t="s">
        <v>4</v>
      </c>
      <c r="E26" t="s">
        <v>5</v>
      </c>
    </row>
    <row r="27" spans="1:7">
      <c r="A27" t="s">
        <v>6</v>
      </c>
      <c r="B27">
        <v>0.95</v>
      </c>
      <c r="C27" t="s">
        <v>7</v>
      </c>
      <c r="D27">
        <v>0.05</v>
      </c>
      <c r="E27" t="s">
        <v>8</v>
      </c>
      <c r="F27">
        <f>_xlfn.T.DIST.RT(1-B27,COUNT($A$8:$A$19)-2)</f>
        <v>0.48055349352370058</v>
      </c>
    </row>
    <row r="28" spans="1:7">
      <c r="A28" t="s">
        <v>23</v>
      </c>
      <c r="B28">
        <v>0.99</v>
      </c>
      <c r="C28" t="s">
        <v>11</v>
      </c>
      <c r="D28">
        <v>0.01</v>
      </c>
      <c r="E28" t="s">
        <v>10</v>
      </c>
      <c r="F28">
        <f>_xlfn.T.DIST.RT(1-B28,COUNT($A$8:$A$19)-2)</f>
        <v>0.49610898749548571</v>
      </c>
    </row>
    <row r="29" spans="1:7">
      <c r="A29" t="s">
        <v>24</v>
      </c>
      <c r="B29">
        <v>0.999</v>
      </c>
      <c r="C29" t="s">
        <v>12</v>
      </c>
      <c r="D29">
        <v>1E-3</v>
      </c>
      <c r="E29" t="s">
        <v>9</v>
      </c>
      <c r="F29">
        <f t="shared" ref="F28:F29" si="5">_xlfn.T.DIST.RT(1-B29,COUNT($A$8:$A$19)-2)</f>
        <v>0.4996108916873705</v>
      </c>
    </row>
  </sheetData>
  <mergeCells count="2">
    <mergeCell ref="A23:C23"/>
    <mergeCell ref="A25:C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CD50-0835-4F34-ADDA-19C1EB4789AA}">
  <dimension ref="A1:W15"/>
  <sheetViews>
    <sheetView workbookViewId="0">
      <selection activeCell="G35" sqref="G35"/>
    </sheetView>
  </sheetViews>
  <sheetFormatPr defaultRowHeight="15"/>
  <cols>
    <col min="1" max="1" width="8.85546875" customWidth="1"/>
  </cols>
  <sheetData>
    <row r="1" spans="1:23">
      <c r="A1" s="14" t="s">
        <v>0</v>
      </c>
      <c r="B1" s="14"/>
      <c r="C1" s="14"/>
      <c r="F1" t="s">
        <v>2</v>
      </c>
    </row>
    <row r="3" spans="1:23">
      <c r="A3" s="14" t="s">
        <v>1</v>
      </c>
      <c r="B3" s="14"/>
      <c r="C3" s="14"/>
    </row>
    <row r="4" spans="1:23">
      <c r="A4" t="s">
        <v>3</v>
      </c>
      <c r="C4" t="s">
        <v>4</v>
      </c>
      <c r="E4" t="s">
        <v>5</v>
      </c>
    </row>
    <row r="5" spans="1:23">
      <c r="A5" t="s">
        <v>6</v>
      </c>
      <c r="B5">
        <v>0.95</v>
      </c>
      <c r="C5" t="s">
        <v>7</v>
      </c>
      <c r="D5">
        <v>0.05</v>
      </c>
      <c r="E5" t="s">
        <v>8</v>
      </c>
    </row>
    <row r="6" spans="1:23">
      <c r="A6" t="s">
        <v>23</v>
      </c>
      <c r="B6">
        <v>0.99</v>
      </c>
      <c r="C6" t="s">
        <v>11</v>
      </c>
      <c r="D6">
        <v>0.01</v>
      </c>
      <c r="E6" t="s">
        <v>10</v>
      </c>
    </row>
    <row r="7" spans="1:23">
      <c r="A7" t="s">
        <v>24</v>
      </c>
      <c r="B7">
        <v>0.999</v>
      </c>
      <c r="C7" t="s">
        <v>12</v>
      </c>
      <c r="D7">
        <v>1E-3</v>
      </c>
      <c r="E7" t="s">
        <v>9</v>
      </c>
    </row>
    <row r="9" spans="1:23">
      <c r="A9" t="s">
        <v>13</v>
      </c>
      <c r="B9" t="s">
        <v>14</v>
      </c>
      <c r="E9" t="s">
        <v>22</v>
      </c>
      <c r="F9" t="s">
        <v>22</v>
      </c>
      <c r="G9" t="s">
        <v>22</v>
      </c>
    </row>
    <row r="12" spans="1:23">
      <c r="A12" t="s">
        <v>15</v>
      </c>
      <c r="B12" t="s">
        <v>16</v>
      </c>
      <c r="C12" s="1" t="s">
        <v>17</v>
      </c>
      <c r="D12" t="s">
        <v>18</v>
      </c>
      <c r="E12" t="s">
        <v>19</v>
      </c>
      <c r="F12" t="s">
        <v>20</v>
      </c>
      <c r="G12" t="s">
        <v>21</v>
      </c>
    </row>
    <row r="15" spans="1:23" ht="69" customHeight="1">
      <c r="A15" s="15" t="s">
        <v>27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</sheetData>
  <mergeCells count="3">
    <mergeCell ref="A1:C1"/>
    <mergeCell ref="A3:C3"/>
    <mergeCell ref="A15:L1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8EDA-3491-4432-8C24-8903D395CC0C}">
  <dimension ref="A1"/>
  <sheetViews>
    <sheetView workbookViewId="0">
      <selection activeCell="A35" sqref="A35"/>
    </sheetView>
  </sheetViews>
  <sheetFormatPr defaultRowHeight="15"/>
  <cols>
    <col min="1" max="1" width="83.85546875" customWidth="1"/>
  </cols>
  <sheetData>
    <row r="1" spans="1:1" ht="60">
      <c r="A1" s="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workbookViewId="0">
      <selection activeCell="G1" sqref="G1"/>
    </sheetView>
  </sheetViews>
  <sheetFormatPr defaultColWidth="8.85546875" defaultRowHeight="15"/>
  <cols>
    <col min="1" max="15" width="8.85546875" style="1"/>
    <col min="16" max="16" width="11.7109375" style="1" customWidth="1"/>
    <col min="17" max="16384" width="8.85546875" style="1"/>
  </cols>
  <sheetData>
    <row r="1" spans="1:10">
      <c r="A1" s="18" t="s">
        <v>0</v>
      </c>
      <c r="B1" s="19"/>
      <c r="C1" s="19"/>
      <c r="D1" s="5">
        <f>E10/(SQRT(F10*G10))</f>
        <v>0.99749675124293058</v>
      </c>
      <c r="E1" s="5"/>
      <c r="F1" s="5" t="s">
        <v>2</v>
      </c>
      <c r="G1" s="5">
        <f>SQRT(D1^2*(COUNT(A13:A20)-2)/(1-D1^2))</f>
        <v>34.553501996399604</v>
      </c>
      <c r="H1" s="5"/>
      <c r="I1" s="5"/>
      <c r="J1" s="6"/>
    </row>
    <row r="2" spans="1:10">
      <c r="A2" s="7"/>
      <c r="B2" s="8"/>
      <c r="C2" s="8"/>
      <c r="D2" s="8"/>
      <c r="E2" s="8"/>
      <c r="F2" s="8"/>
      <c r="G2" s="8"/>
      <c r="H2" s="8"/>
      <c r="I2" s="8"/>
      <c r="J2" s="9"/>
    </row>
    <row r="3" spans="1:10">
      <c r="A3" s="20" t="s">
        <v>1</v>
      </c>
      <c r="B3" s="21"/>
      <c r="C3" s="21"/>
      <c r="D3" s="8"/>
      <c r="E3" s="8"/>
      <c r="F3" s="8"/>
      <c r="G3" s="8"/>
      <c r="H3" s="8"/>
      <c r="I3" s="8"/>
      <c r="J3" s="9"/>
    </row>
    <row r="4" spans="1:10">
      <c r="A4" s="7" t="s">
        <v>3</v>
      </c>
      <c r="B4" s="8"/>
      <c r="C4" s="8" t="s">
        <v>4</v>
      </c>
      <c r="D4" s="8"/>
      <c r="E4" s="8" t="s">
        <v>5</v>
      </c>
      <c r="F4" s="8"/>
      <c r="G4" s="8"/>
      <c r="H4" s="8"/>
      <c r="I4" s="8"/>
      <c r="J4" s="9"/>
    </row>
    <row r="5" spans="1:10">
      <c r="A5" s="7" t="s">
        <v>6</v>
      </c>
      <c r="B5" s="8">
        <v>0.95</v>
      </c>
      <c r="C5" s="8" t="s">
        <v>7</v>
      </c>
      <c r="D5" s="8">
        <v>0.05</v>
      </c>
      <c r="E5" s="8" t="s">
        <v>8</v>
      </c>
      <c r="F5" s="8">
        <f>_xlfn.T.DIST.RT(1-B5,COUNT($A$13:$A$20)-2)</f>
        <v>0.48087265868734574</v>
      </c>
      <c r="G5" s="8"/>
      <c r="H5" s="8"/>
      <c r="I5" s="8"/>
      <c r="J5" s="9"/>
    </row>
    <row r="6" spans="1:10">
      <c r="A6" s="7" t="s">
        <v>23</v>
      </c>
      <c r="B6" s="8">
        <v>0.99</v>
      </c>
      <c r="C6" s="8" t="s">
        <v>11</v>
      </c>
      <c r="D6" s="8">
        <v>0.01</v>
      </c>
      <c r="E6" s="8" t="s">
        <v>10</v>
      </c>
      <c r="F6" s="8">
        <f t="shared" ref="F6:F7" si="0">_xlfn.T.DIST.RT(1-B6,COUNT($A$13:$A$20)-2)</f>
        <v>0.49617274669548816</v>
      </c>
      <c r="G6" s="8"/>
      <c r="H6" s="8"/>
      <c r="I6" s="8"/>
      <c r="J6" s="9"/>
    </row>
    <row r="7" spans="1:10">
      <c r="A7" s="7" t="s">
        <v>24</v>
      </c>
      <c r="B7" s="8">
        <v>0.999</v>
      </c>
      <c r="C7" s="8" t="s">
        <v>12</v>
      </c>
      <c r="D7" s="8">
        <v>1E-3</v>
      </c>
      <c r="E7" s="8" t="s">
        <v>9</v>
      </c>
      <c r="F7" s="8">
        <f t="shared" si="0"/>
        <v>0.49961726730211037</v>
      </c>
      <c r="G7" s="8"/>
      <c r="H7" s="8"/>
      <c r="I7" s="8"/>
      <c r="J7" s="9"/>
    </row>
    <row r="8" spans="1:10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>
      <c r="A9" s="7" t="s">
        <v>13</v>
      </c>
      <c r="B9" s="8" t="s">
        <v>14</v>
      </c>
      <c r="C9" s="8"/>
      <c r="D9" s="8"/>
      <c r="E9" s="8" t="s">
        <v>22</v>
      </c>
      <c r="F9" s="8" t="s">
        <v>22</v>
      </c>
      <c r="G9" s="8" t="s">
        <v>22</v>
      </c>
      <c r="H9" s="8"/>
      <c r="I9" s="8"/>
      <c r="J9" s="9"/>
    </row>
    <row r="10" spans="1:10">
      <c r="A10" s="7">
        <f>AVERAGE(A13:A20)</f>
        <v>5.75</v>
      </c>
      <c r="B10" s="8">
        <f>AVERAGE(B13:B20)</f>
        <v>27.912500000000001</v>
      </c>
      <c r="C10" s="8"/>
      <c r="D10" s="8"/>
      <c r="E10" s="8">
        <f>SUM(E13:E20)</f>
        <v>18.625000000000007</v>
      </c>
      <c r="F10" s="8">
        <f>SUM(F13:F20)</f>
        <v>45.699999999999996</v>
      </c>
      <c r="G10" s="8">
        <f>SUM(G13:G20)</f>
        <v>7.6287500000000046</v>
      </c>
      <c r="H10" s="8"/>
      <c r="I10" s="8"/>
      <c r="J10" s="9"/>
    </row>
    <row r="11" spans="1:10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>
      <c r="A12" s="7" t="s">
        <v>15</v>
      </c>
      <c r="B12" s="8" t="s">
        <v>16</v>
      </c>
      <c r="C12" s="8" t="s">
        <v>17</v>
      </c>
      <c r="D12" s="8" t="s">
        <v>18</v>
      </c>
      <c r="E12" s="8" t="s">
        <v>19</v>
      </c>
      <c r="F12" s="8" t="s">
        <v>20</v>
      </c>
      <c r="G12" s="8" t="s">
        <v>21</v>
      </c>
      <c r="H12" s="8"/>
      <c r="I12" s="8"/>
      <c r="J12" s="9"/>
    </row>
    <row r="13" spans="1:10">
      <c r="A13" s="7">
        <v>2</v>
      </c>
      <c r="B13" s="8">
        <v>26.4</v>
      </c>
      <c r="C13" s="8">
        <f>A13-$A$10</f>
        <v>-3.75</v>
      </c>
      <c r="D13" s="8">
        <f>B13 -$B$10</f>
        <v>-1.5125000000000028</v>
      </c>
      <c r="E13" s="8">
        <f>C13*D13</f>
        <v>5.6718750000000107</v>
      </c>
      <c r="F13" s="8">
        <f>C13*C13</f>
        <v>14.0625</v>
      </c>
      <c r="G13" s="8">
        <f>D13*D13</f>
        <v>2.2876562500000084</v>
      </c>
      <c r="H13" s="8"/>
      <c r="I13" s="8"/>
      <c r="J13" s="9"/>
    </row>
    <row r="14" spans="1:10">
      <c r="A14" s="7">
        <v>3.5</v>
      </c>
      <c r="B14" s="8">
        <v>26.9</v>
      </c>
      <c r="C14" s="8">
        <f>A14-$A$10</f>
        <v>-2.25</v>
      </c>
      <c r="D14" s="8">
        <f t="shared" ref="D14:D20" si="1">B14 -$B$10</f>
        <v>-1.0125000000000028</v>
      </c>
      <c r="E14" s="8">
        <f t="shared" ref="E14:E20" si="2">C14*D14</f>
        <v>2.2781250000000064</v>
      </c>
      <c r="F14" s="8">
        <f t="shared" ref="F14:F20" si="3">C14*C14</f>
        <v>5.0625</v>
      </c>
      <c r="G14" s="8">
        <f t="shared" ref="G14:G20" si="4">D14*D14</f>
        <v>1.0251562500000058</v>
      </c>
      <c r="H14" s="8"/>
      <c r="I14" s="8"/>
      <c r="J14" s="9"/>
    </row>
    <row r="15" spans="1:10">
      <c r="A15" s="7">
        <v>4</v>
      </c>
      <c r="B15" s="8">
        <v>27.3</v>
      </c>
      <c r="C15" s="8">
        <f>A15-$A$10</f>
        <v>-1.75</v>
      </c>
      <c r="D15" s="8">
        <f t="shared" si="1"/>
        <v>-0.61250000000000071</v>
      </c>
      <c r="E15" s="8">
        <f t="shared" si="2"/>
        <v>1.0718750000000012</v>
      </c>
      <c r="F15" s="8">
        <f t="shared" si="3"/>
        <v>3.0625</v>
      </c>
      <c r="G15" s="8">
        <f t="shared" si="4"/>
        <v>0.37515625000000086</v>
      </c>
      <c r="H15" s="8"/>
      <c r="I15" s="8"/>
      <c r="J15" s="9"/>
    </row>
    <row r="16" spans="1:10">
      <c r="A16" s="7">
        <v>5.2</v>
      </c>
      <c r="B16" s="8">
        <v>27.7</v>
      </c>
      <c r="C16" s="8">
        <f t="shared" ref="C14:C20" si="5">A16-$A$10</f>
        <v>-0.54999999999999982</v>
      </c>
      <c r="D16" s="8">
        <f t="shared" si="1"/>
        <v>-0.21250000000000213</v>
      </c>
      <c r="E16" s="8">
        <f t="shared" si="2"/>
        <v>0.11687500000000113</v>
      </c>
      <c r="F16" s="8">
        <f t="shared" si="3"/>
        <v>0.30249999999999982</v>
      </c>
      <c r="G16" s="8">
        <f t="shared" si="4"/>
        <v>4.5156250000000904E-2</v>
      </c>
      <c r="H16" s="8"/>
      <c r="I16" s="8"/>
      <c r="J16" s="9"/>
    </row>
    <row r="17" spans="1:18">
      <c r="A17" s="7">
        <v>6.3</v>
      </c>
      <c r="B17" s="8">
        <v>28.1</v>
      </c>
      <c r="C17" s="8">
        <f t="shared" si="5"/>
        <v>0.54999999999999982</v>
      </c>
      <c r="D17" s="8">
        <f t="shared" si="1"/>
        <v>0.1875</v>
      </c>
      <c r="E17" s="8">
        <f t="shared" si="2"/>
        <v>0.10312499999999997</v>
      </c>
      <c r="F17" s="8">
        <f t="shared" si="3"/>
        <v>0.30249999999999982</v>
      </c>
      <c r="G17" s="8">
        <f t="shared" si="4"/>
        <v>3.515625E-2</v>
      </c>
      <c r="H17" s="8"/>
      <c r="I17" s="8"/>
      <c r="J17" s="9"/>
    </row>
    <row r="18" spans="1:18">
      <c r="A18" s="7">
        <v>7.1</v>
      </c>
      <c r="B18" s="8">
        <v>28.4</v>
      </c>
      <c r="C18" s="8">
        <f t="shared" si="5"/>
        <v>1.3499999999999996</v>
      </c>
      <c r="D18" s="8">
        <f t="shared" si="1"/>
        <v>0.48749999999999716</v>
      </c>
      <c r="E18" s="8">
        <f t="shared" si="2"/>
        <v>0.65812499999999596</v>
      </c>
      <c r="F18" s="8">
        <f t="shared" si="3"/>
        <v>1.8224999999999991</v>
      </c>
      <c r="G18" s="8">
        <f t="shared" si="4"/>
        <v>0.23765624999999724</v>
      </c>
      <c r="H18" s="8"/>
      <c r="I18" s="8"/>
      <c r="J18" s="9"/>
    </row>
    <row r="19" spans="1:18">
      <c r="A19" s="7">
        <v>8.4</v>
      </c>
      <c r="B19" s="8">
        <v>29.1</v>
      </c>
      <c r="C19" s="8">
        <f t="shared" si="5"/>
        <v>2.6500000000000004</v>
      </c>
      <c r="D19" s="8">
        <f t="shared" si="1"/>
        <v>1.1875</v>
      </c>
      <c r="E19" s="8">
        <f t="shared" si="2"/>
        <v>3.1468750000000005</v>
      </c>
      <c r="F19" s="8">
        <f t="shared" si="3"/>
        <v>7.0225000000000017</v>
      </c>
      <c r="G19" s="8">
        <f t="shared" si="4"/>
        <v>1.41015625</v>
      </c>
      <c r="H19" s="8"/>
      <c r="I19" s="8"/>
      <c r="J19" s="9"/>
    </row>
    <row r="20" spans="1:18">
      <c r="A20" s="7">
        <v>9.5</v>
      </c>
      <c r="B20" s="8">
        <v>29.4</v>
      </c>
      <c r="C20" s="8">
        <f t="shared" si="5"/>
        <v>3.75</v>
      </c>
      <c r="D20" s="8">
        <f t="shared" si="1"/>
        <v>1.4874999999999972</v>
      </c>
      <c r="E20" s="8">
        <f t="shared" si="2"/>
        <v>5.5781249999999893</v>
      </c>
      <c r="F20" s="8">
        <f t="shared" si="3"/>
        <v>14.0625</v>
      </c>
      <c r="G20" s="8">
        <f t="shared" si="4"/>
        <v>2.2126562499999913</v>
      </c>
      <c r="H20" s="8"/>
      <c r="I20" s="8"/>
      <c r="J20" s="9"/>
    </row>
    <row r="21" spans="1:18" ht="15.75" thickBot="1">
      <c r="A21" s="10"/>
      <c r="B21" s="11"/>
      <c r="C21" s="11"/>
      <c r="D21" s="11"/>
      <c r="E21" s="11"/>
      <c r="F21" s="11"/>
      <c r="G21" s="11"/>
      <c r="H21" s="11"/>
      <c r="I21" s="11"/>
      <c r="J21" s="12"/>
    </row>
    <row r="23" spans="1:18">
      <c r="A23" s="17" t="s">
        <v>30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5" spans="1:18">
      <c r="A25" s="22" t="s">
        <v>40</v>
      </c>
      <c r="B25" s="22"/>
      <c r="C25" s="22"/>
      <c r="D25" s="22"/>
    </row>
    <row r="27" spans="1:18">
      <c r="A27" s="17" t="s">
        <v>31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9" spans="1:18">
      <c r="A29" s="17" t="s">
        <v>41</v>
      </c>
      <c r="B29" s="17"/>
      <c r="C29" s="17"/>
      <c r="D29" s="17"/>
      <c r="E29" s="17"/>
      <c r="F29" s="17"/>
      <c r="G29" s="17"/>
    </row>
    <row r="31" spans="1:18">
      <c r="A31" s="17" t="s">
        <v>32</v>
      </c>
      <c r="B31" s="17"/>
      <c r="C31" s="17"/>
      <c r="D31" s="17"/>
      <c r="E31" s="17"/>
      <c r="F31" s="17"/>
      <c r="G31" s="17"/>
      <c r="H31" s="17"/>
      <c r="I31" s="17"/>
    </row>
    <row r="32" spans="1:18">
      <c r="A32" s="3"/>
    </row>
    <row r="33" spans="1:12">
      <c r="A33" s="16" t="s">
        <v>33</v>
      </c>
      <c r="B33" s="16"/>
      <c r="C33" s="16"/>
      <c r="D33" s="16"/>
      <c r="E33" s="16"/>
    </row>
    <row r="34" spans="1:12">
      <c r="A34" s="16" t="s">
        <v>34</v>
      </c>
      <c r="B34" s="16"/>
      <c r="C34" s="16"/>
      <c r="D34" s="16"/>
      <c r="E34" s="16"/>
    </row>
    <row r="35" spans="1:12">
      <c r="A35" s="16" t="s">
        <v>35</v>
      </c>
      <c r="B35" s="16"/>
      <c r="C35" s="16"/>
      <c r="D35" s="16"/>
      <c r="E35" s="16"/>
    </row>
    <row r="37" spans="1:12">
      <c r="A37" s="17" t="s">
        <v>36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40" spans="1:12" ht="15.75">
      <c r="A40" s="4" t="s">
        <v>28</v>
      </c>
    </row>
    <row r="41" spans="1:12">
      <c r="A41" s="3"/>
    </row>
    <row r="42" spans="1:12">
      <c r="A42" s="16" t="s">
        <v>37</v>
      </c>
      <c r="B42" s="16"/>
      <c r="C42" s="16"/>
      <c r="D42" s="16"/>
      <c r="E42" s="16"/>
      <c r="F42" s="16"/>
      <c r="G42" s="16"/>
      <c r="H42" s="16"/>
      <c r="I42" s="16"/>
      <c r="J42" s="16"/>
    </row>
    <row r="43" spans="1:12">
      <c r="A43" s="16" t="s">
        <v>38</v>
      </c>
      <c r="B43" s="16"/>
      <c r="C43" s="16"/>
      <c r="D43" s="16"/>
      <c r="E43" s="16"/>
      <c r="F43" s="16"/>
      <c r="G43" s="16"/>
      <c r="H43" s="16"/>
    </row>
    <row r="44" spans="1:12">
      <c r="A44" s="16" t="s">
        <v>29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6" spans="1:12">
      <c r="A46" s="17" t="s">
        <v>39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</sheetData>
  <mergeCells count="15">
    <mergeCell ref="A1:C1"/>
    <mergeCell ref="A3:C3"/>
    <mergeCell ref="A23:R23"/>
    <mergeCell ref="A25:D25"/>
    <mergeCell ref="A27:P27"/>
    <mergeCell ref="A44:K44"/>
    <mergeCell ref="A46:L46"/>
    <mergeCell ref="A29:G29"/>
    <mergeCell ref="A33:E33"/>
    <mergeCell ref="A34:E34"/>
    <mergeCell ref="A35:E35"/>
    <mergeCell ref="A37:L37"/>
    <mergeCell ref="A42:J42"/>
    <mergeCell ref="A43:H43"/>
    <mergeCell ref="A31:I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Постановка задачі 1</vt:lpstr>
      <vt:lpstr>приклад</vt:lpstr>
      <vt:lpstr>Завдання 1</vt:lpstr>
      <vt:lpstr>Постановка задачі 2</vt:lpstr>
      <vt:lpstr>Завдання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 Горецький</dc:creator>
  <cp:lastModifiedBy>Макс Горецький</cp:lastModifiedBy>
  <dcterms:created xsi:type="dcterms:W3CDTF">2015-06-05T18:17:20Z</dcterms:created>
  <dcterms:modified xsi:type="dcterms:W3CDTF">2025-05-14T16:26:52Z</dcterms:modified>
</cp:coreProperties>
</file>